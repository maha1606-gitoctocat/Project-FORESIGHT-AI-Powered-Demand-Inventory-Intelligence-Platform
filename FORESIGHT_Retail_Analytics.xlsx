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 activeTab="1"/>
  </bookViews>
  <sheets>
    <sheet name="Monthly Sales" sheetId="1" r:id="rId1"/>
    <sheet name="Yearly KPIs" sheetId="2" r:id="rId2"/>
    <sheet name="Store Performance" sheetId="3" r:id="rId3"/>
    <sheet name="Store Type" sheetId="4" r:id="rId4"/>
    <sheet name="Category Risk" sheetId="5" r:id="rId5"/>
    <sheet name="Priority SKUs" sheetId="6" r:id="rId6"/>
    <sheet name="Dashboard" sheetId="7" r:id="rId7"/>
  </sheets>
  <calcPr calcId="124519"/>
</workbook>
</file>

<file path=xl/calcChain.xml><?xml version="1.0" encoding="utf-8"?>
<calcChain xmlns="http://schemas.openxmlformats.org/spreadsheetml/2006/main">
  <c r="I4" i="7"/>
  <c r="G4"/>
  <c r="E4"/>
  <c r="C4"/>
  <c r="A4"/>
  <c r="H12" i="2"/>
  <c r="H9"/>
  <c r="H6"/>
  <c r="H3"/>
</calcChain>
</file>

<file path=xl/sharedStrings.xml><?xml version="1.0" encoding="utf-8"?>
<sst xmlns="http://schemas.openxmlformats.org/spreadsheetml/2006/main" count="420" uniqueCount="357">
  <si>
    <t>date</t>
  </si>
  <si>
    <t>total_value</t>
  </si>
  <si>
    <t>revenue</t>
  </si>
  <si>
    <t>orders</t>
  </si>
  <si>
    <t>quantity</t>
  </si>
  <si>
    <t>aov</t>
  </si>
  <si>
    <t>revenue_growth_pct</t>
  </si>
  <si>
    <t>store_id</t>
  </si>
  <si>
    <t>city</t>
  </si>
  <si>
    <t>store_type</t>
  </si>
  <si>
    <t>ST01</t>
  </si>
  <si>
    <t>Quetta</t>
  </si>
  <si>
    <t>Convenience Store</t>
  </si>
  <si>
    <t>ST02</t>
  </si>
  <si>
    <t>Islamabad</t>
  </si>
  <si>
    <t>Express Store</t>
  </si>
  <si>
    <t>ST03</t>
  </si>
  <si>
    <t>Sialkot</t>
  </si>
  <si>
    <t>Supermarket</t>
  </si>
  <si>
    <t>ST04</t>
  </si>
  <si>
    <t>Multan</t>
  </si>
  <si>
    <t>ST05</t>
  </si>
  <si>
    <t>Karachi</t>
  </si>
  <si>
    <t>ST06</t>
  </si>
  <si>
    <t>Sukkur</t>
  </si>
  <si>
    <t>Hypermarket</t>
  </si>
  <si>
    <t>ST07</t>
  </si>
  <si>
    <t>Peshawar</t>
  </si>
  <si>
    <t>ST08</t>
  </si>
  <si>
    <t>ST09</t>
  </si>
  <si>
    <t>ST10</t>
  </si>
  <si>
    <t>Rawalpindi</t>
  </si>
  <si>
    <t>ST11</t>
  </si>
  <si>
    <t>ST12</t>
  </si>
  <si>
    <t>Hyderabad</t>
  </si>
  <si>
    <t>ST13</t>
  </si>
  <si>
    <t>ST14</t>
  </si>
  <si>
    <t>ST15</t>
  </si>
  <si>
    <t>ST16</t>
  </si>
  <si>
    <t>Lahore</t>
  </si>
  <si>
    <t>ST17</t>
  </si>
  <si>
    <t>Faisalabad</t>
  </si>
  <si>
    <t>ST18</t>
  </si>
  <si>
    <t>ST19</t>
  </si>
  <si>
    <t>ST20</t>
  </si>
  <si>
    <t>ST21</t>
  </si>
  <si>
    <t>ST22</t>
  </si>
  <si>
    <t>ST23</t>
  </si>
  <si>
    <t>ST24</t>
  </si>
  <si>
    <t>Gujranwala</t>
  </si>
  <si>
    <t>ST25</t>
  </si>
  <si>
    <t>ST26</t>
  </si>
  <si>
    <t>ST27</t>
  </si>
  <si>
    <t>ST28</t>
  </si>
  <si>
    <t>ST29</t>
  </si>
  <si>
    <t>ST30</t>
  </si>
  <si>
    <t>stores</t>
  </si>
  <si>
    <t>revenue_per_store</t>
  </si>
  <si>
    <t>category</t>
  </si>
  <si>
    <t>high_risk_items</t>
  </si>
  <si>
    <t>replenishment_value</t>
  </si>
  <si>
    <t>risk_share</t>
  </si>
  <si>
    <t>Apparel &amp; Footwear</t>
  </si>
  <si>
    <t>Beverages</t>
  </si>
  <si>
    <t>Dairy &amp; Bakery</t>
  </si>
  <si>
    <t>Electronics &amp; Accessories</t>
  </si>
  <si>
    <t>Frozen Foods</t>
  </si>
  <si>
    <t>Grocery</t>
  </si>
  <si>
    <t>Health &amp; Wellness</t>
  </si>
  <si>
    <t>Home &amp; Kitchen</t>
  </si>
  <si>
    <t>Home Care</t>
  </si>
  <si>
    <t>Personal Care</t>
  </si>
  <si>
    <t>Snacks &amp; Confectionery</t>
  </si>
  <si>
    <t>Stationery &amp; Office</t>
  </si>
  <si>
    <t>sku_id</t>
  </si>
  <si>
    <t>high_risk_stores</t>
  </si>
  <si>
    <t>SKU04157</t>
  </si>
  <si>
    <t>SKU02833</t>
  </si>
  <si>
    <t>SKU00728</t>
  </si>
  <si>
    <t>SKU03053</t>
  </si>
  <si>
    <t>SKU00531</t>
  </si>
  <si>
    <t>SKU02046</t>
  </si>
  <si>
    <t>SKU04551</t>
  </si>
  <si>
    <t>SKU03323</t>
  </si>
  <si>
    <t>SKU04783</t>
  </si>
  <si>
    <t>SKU04329</t>
  </si>
  <si>
    <t>SKU01363</t>
  </si>
  <si>
    <t>SKU02692</t>
  </si>
  <si>
    <t>SKU04126</t>
  </si>
  <si>
    <t>SKU02543</t>
  </si>
  <si>
    <t>SKU04273</t>
  </si>
  <si>
    <t>SKU03727</t>
  </si>
  <si>
    <t>SKU01189</t>
  </si>
  <si>
    <t>SKU01021</t>
  </si>
  <si>
    <t>SKU04562</t>
  </si>
  <si>
    <t>SKU04710</t>
  </si>
  <si>
    <t>SKU03812</t>
  </si>
  <si>
    <t>SKU04016</t>
  </si>
  <si>
    <t>SKU01371</t>
  </si>
  <si>
    <t>SKU03693</t>
  </si>
  <si>
    <t>SKU00500</t>
  </si>
  <si>
    <t>SKU02640</t>
  </si>
  <si>
    <t>SKU02482</t>
  </si>
  <si>
    <t>SKU02381</t>
  </si>
  <si>
    <t>SKU02176</t>
  </si>
  <si>
    <t>SKU00363</t>
  </si>
  <si>
    <t>SKU04346</t>
  </si>
  <si>
    <t>SKU02155</t>
  </si>
  <si>
    <t>SKU02983</t>
  </si>
  <si>
    <t>SKU03907</t>
  </si>
  <si>
    <t>SKU01153</t>
  </si>
  <si>
    <t>SKU02648</t>
  </si>
  <si>
    <t>SKU04824</t>
  </si>
  <si>
    <t>SKU00538</t>
  </si>
  <si>
    <t>SKU04663</t>
  </si>
  <si>
    <t>SKU02368</t>
  </si>
  <si>
    <t>SKU04571</t>
  </si>
  <si>
    <t>SKU00832</t>
  </si>
  <si>
    <t>SKU01317</t>
  </si>
  <si>
    <t>SKU03476</t>
  </si>
  <si>
    <t>SKU04321</t>
  </si>
  <si>
    <t>SKU03259</t>
  </si>
  <si>
    <t>SKU04305</t>
  </si>
  <si>
    <t>SKU02526</t>
  </si>
  <si>
    <t>SKU04847</t>
  </si>
  <si>
    <t>SKU04756</t>
  </si>
  <si>
    <t>SKU02747</t>
  </si>
  <si>
    <t>SKU01578</t>
  </si>
  <si>
    <t>SKU02898</t>
  </si>
  <si>
    <t>SKU00845</t>
  </si>
  <si>
    <t>SKU00285</t>
  </si>
  <si>
    <t>SKU02484</t>
  </si>
  <si>
    <t>SKU00994</t>
  </si>
  <si>
    <t>SKU02954</t>
  </si>
  <si>
    <t>SKU01152</t>
  </si>
  <si>
    <t>SKU04012</t>
  </si>
  <si>
    <t>SKU04633</t>
  </si>
  <si>
    <t>SKU04315</t>
  </si>
  <si>
    <t>SKU01274</t>
  </si>
  <si>
    <t>SKU04041</t>
  </si>
  <si>
    <t>SKU00893</t>
  </si>
  <si>
    <t>SKU01751</t>
  </si>
  <si>
    <t>SKU04913</t>
  </si>
  <si>
    <t>SKU03546</t>
  </si>
  <si>
    <t>SKU02401</t>
  </si>
  <si>
    <t>SKU01662</t>
  </si>
  <si>
    <t>SKU04627</t>
  </si>
  <si>
    <t>SKU02141</t>
  </si>
  <si>
    <t>SKU00369</t>
  </si>
  <si>
    <t>SKU04350</t>
  </si>
  <si>
    <t>SKU01485</t>
  </si>
  <si>
    <t>SKU02826</t>
  </si>
  <si>
    <t>SKU04926</t>
  </si>
  <si>
    <t>SKU03870</t>
  </si>
  <si>
    <t>SKU00263</t>
  </si>
  <si>
    <t>SKU00062</t>
  </si>
  <si>
    <t>SKU01045</t>
  </si>
  <si>
    <t>SKU01170</t>
  </si>
  <si>
    <t>SKU00506</t>
  </si>
  <si>
    <t>SKU03702</t>
  </si>
  <si>
    <t>SKU04596</t>
  </si>
  <si>
    <t>SKU04154</t>
  </si>
  <si>
    <t>SKU04626</t>
  </si>
  <si>
    <t>SKU04105</t>
  </si>
  <si>
    <t>SKU04508</t>
  </si>
  <si>
    <t>SKU00830</t>
  </si>
  <si>
    <t>SKU04453</t>
  </si>
  <si>
    <t>SKU03840</t>
  </si>
  <si>
    <t>SKU02683</t>
  </si>
  <si>
    <t>SKU02355</t>
  </si>
  <si>
    <t>SKU00976</t>
  </si>
  <si>
    <t>SKU02737</t>
  </si>
  <si>
    <t>SKU02340</t>
  </si>
  <si>
    <t>SKU04489</t>
  </si>
  <si>
    <t>SKU03057</t>
  </si>
  <si>
    <t>SKU00264</t>
  </si>
  <si>
    <t>SKU03743</t>
  </si>
  <si>
    <t>SKU03063</t>
  </si>
  <si>
    <t>SKU00692</t>
  </si>
  <si>
    <t>SKU02503</t>
  </si>
  <si>
    <t>SKU04362</t>
  </si>
  <si>
    <t>SKU01507</t>
  </si>
  <si>
    <t>SKU04140</t>
  </si>
  <si>
    <t>SKU01138</t>
  </si>
  <si>
    <t>SKU03578</t>
  </si>
  <si>
    <t>SKU02950</t>
  </si>
  <si>
    <t>SKU04280</t>
  </si>
  <si>
    <t>SKU00328</t>
  </si>
  <si>
    <t>SKU03088</t>
  </si>
  <si>
    <t>SKU01414</t>
  </si>
  <si>
    <t>SKU00376</t>
  </si>
  <si>
    <t>SKU04166</t>
  </si>
  <si>
    <t>SKU00953</t>
  </si>
  <si>
    <t>SKU00291</t>
  </si>
  <si>
    <t>SKU02776</t>
  </si>
  <si>
    <t>SKU01030</t>
  </si>
  <si>
    <t>SKU01009</t>
  </si>
  <si>
    <t>SKU01988</t>
  </si>
  <si>
    <t>SKU00823</t>
  </si>
  <si>
    <t>SKU01775</t>
  </si>
  <si>
    <t>SKU04348</t>
  </si>
  <si>
    <t>SKU01438</t>
  </si>
  <si>
    <t>SKU02268</t>
  </si>
  <si>
    <t>SKU03425</t>
  </si>
  <si>
    <t>SKU03622</t>
  </si>
  <si>
    <t>SKU04032</t>
  </si>
  <si>
    <t>SKU00929</t>
  </si>
  <si>
    <t>SKU04156</t>
  </si>
  <si>
    <t>SKU01037</t>
  </si>
  <si>
    <t>SKU02840</t>
  </si>
  <si>
    <t>SKU00539</t>
  </si>
  <si>
    <t>SKU01370</t>
  </si>
  <si>
    <t>SKU02247</t>
  </si>
  <si>
    <t>SKU02538</t>
  </si>
  <si>
    <t>SKU01420</t>
  </si>
  <si>
    <t>SKU03274</t>
  </si>
  <si>
    <t>SKU02462</t>
  </si>
  <si>
    <t>SKU00942</t>
  </si>
  <si>
    <t>SKU04381</t>
  </si>
  <si>
    <t>SKU03292</t>
  </si>
  <si>
    <t>SKU04245</t>
  </si>
  <si>
    <t>SKU00079</t>
  </si>
  <si>
    <t>SKU00484</t>
  </si>
  <si>
    <t>SKU02068</t>
  </si>
  <si>
    <t>SKU03171</t>
  </si>
  <si>
    <t>SKU02930</t>
  </si>
  <si>
    <t>SKU02449</t>
  </si>
  <si>
    <t>SKU02531</t>
  </si>
  <si>
    <t>SKU04318</t>
  </si>
  <si>
    <t>SKU02837</t>
  </si>
  <si>
    <t>SKU01258</t>
  </si>
  <si>
    <t>SKU01164</t>
  </si>
  <si>
    <t>SKU01547</t>
  </si>
  <si>
    <t>SKU03876</t>
  </si>
  <si>
    <t>SKU00996</t>
  </si>
  <si>
    <t>SKU00190</t>
  </si>
  <si>
    <t>SKU04191</t>
  </si>
  <si>
    <t>SKU02079</t>
  </si>
  <si>
    <t>SKU02532</t>
  </si>
  <si>
    <t>SKU01784</t>
  </si>
  <si>
    <t>SKU00920</t>
  </si>
  <si>
    <t>SKU04035</t>
  </si>
  <si>
    <t>SKU03535</t>
  </si>
  <si>
    <t>SKU00628</t>
  </si>
  <si>
    <t>SKU03633</t>
  </si>
  <si>
    <t>SKU03851</t>
  </si>
  <si>
    <t>SKU00774</t>
  </si>
  <si>
    <t>SKU01677</t>
  </si>
  <si>
    <t>SKU04046</t>
  </si>
  <si>
    <t>SKU00254</t>
  </si>
  <si>
    <t>SKU00892</t>
  </si>
  <si>
    <t>SKU00020</t>
  </si>
  <si>
    <t>SKU03199</t>
  </si>
  <si>
    <t>SKU01081</t>
  </si>
  <si>
    <t>SKU00245</t>
  </si>
  <si>
    <t>SKU03030</t>
  </si>
  <si>
    <t>SKU01685</t>
  </si>
  <si>
    <t>SKU02923</t>
  </si>
  <si>
    <t>SKU00177</t>
  </si>
  <si>
    <t>SKU02614</t>
  </si>
  <si>
    <t>SKU01991</t>
  </si>
  <si>
    <t>SKU03800</t>
  </si>
  <si>
    <t>SKU00002</t>
  </si>
  <si>
    <t>SKU02660</t>
  </si>
  <si>
    <t>SKU03992</t>
  </si>
  <si>
    <t>SKU02657</t>
  </si>
  <si>
    <t>SKU02031</t>
  </si>
  <si>
    <t>SKU02740</t>
  </si>
  <si>
    <t>SKU01993</t>
  </si>
  <si>
    <t>SKU00984</t>
  </si>
  <si>
    <t>SKU04476</t>
  </si>
  <si>
    <t>SKU00445</t>
  </si>
  <si>
    <t>SKU02088</t>
  </si>
  <si>
    <t>SKU00169</t>
  </si>
  <si>
    <t>SKU01048</t>
  </si>
  <si>
    <t>SKU02892</t>
  </si>
  <si>
    <t>SKU01884</t>
  </si>
  <si>
    <t>SKU02858</t>
  </si>
  <si>
    <t>SKU04646</t>
  </si>
  <si>
    <t>SKU01355</t>
  </si>
  <si>
    <t>SKU00416</t>
  </si>
  <si>
    <t>SKU00286</t>
  </si>
  <si>
    <t>SKU04574</t>
  </si>
  <si>
    <t>SKU01466</t>
  </si>
  <si>
    <t>SKU04269</t>
  </si>
  <si>
    <t>SKU04264</t>
  </si>
  <si>
    <t>SKU03353</t>
  </si>
  <si>
    <t>SKU01643</t>
  </si>
  <si>
    <t>SKU02333</t>
  </si>
  <si>
    <t>SKU00481</t>
  </si>
  <si>
    <t>SKU00835</t>
  </si>
  <si>
    <t>SKU04169</t>
  </si>
  <si>
    <t>SKU00768</t>
  </si>
  <si>
    <t>SKU01837</t>
  </si>
  <si>
    <t>SKU00742</t>
  </si>
  <si>
    <t>SKU00974</t>
  </si>
  <si>
    <t>SKU00408</t>
  </si>
  <si>
    <t>SKU00272</t>
  </si>
  <si>
    <t>SKU01010</t>
  </si>
  <si>
    <t>SKU04486</t>
  </si>
  <si>
    <t>SKU01584</t>
  </si>
  <si>
    <t>SKU04434</t>
  </si>
  <si>
    <t>SKU02857</t>
  </si>
  <si>
    <t>SKU00050</t>
  </si>
  <si>
    <t>SKU01842</t>
  </si>
  <si>
    <t>SKU04778</t>
  </si>
  <si>
    <t>SKU00298</t>
  </si>
  <si>
    <t>SKU01216</t>
  </si>
  <si>
    <t>SKU02486</t>
  </si>
  <si>
    <t>SKU02203</t>
  </si>
  <si>
    <t>SKU04871</t>
  </si>
  <si>
    <t>SKU00657</t>
  </si>
  <si>
    <t>SKU03298</t>
  </si>
  <si>
    <t>SKU04615</t>
  </si>
  <si>
    <t>SKU00884</t>
  </si>
  <si>
    <t>SKU00861</t>
  </si>
  <si>
    <t>SKU01499</t>
  </si>
  <si>
    <t>SKU02245</t>
  </si>
  <si>
    <t>SKU02506</t>
  </si>
  <si>
    <t>SKU01102</t>
  </si>
  <si>
    <t>SKU03906</t>
  </si>
  <si>
    <t>SKU04722</t>
  </si>
  <si>
    <t>SKU01020</t>
  </si>
  <si>
    <t>SKU04309</t>
  </si>
  <si>
    <t>SKU00076</t>
  </si>
  <si>
    <t>SKU00867</t>
  </si>
  <si>
    <t>SKU01121</t>
  </si>
  <si>
    <t>SKU00267</t>
  </si>
  <si>
    <t>SKU02602</t>
  </si>
  <si>
    <t>SKU03856</t>
  </si>
  <si>
    <t>SKU00668</t>
  </si>
  <si>
    <t>SKU03110</t>
  </si>
  <si>
    <t>SKU01687</t>
  </si>
  <si>
    <t>SKU02122</t>
  </si>
  <si>
    <t>SKU00694</t>
  </si>
  <si>
    <t>SKU04809</t>
  </si>
  <si>
    <t>SKU03029</t>
  </si>
  <si>
    <t>SKU01620</t>
  </si>
  <si>
    <t>SKU03222</t>
  </si>
  <si>
    <t>SKU01613</t>
  </si>
  <si>
    <t>SKU00397</t>
  </si>
  <si>
    <t>SKU03901</t>
  </si>
  <si>
    <t>SKU00922</t>
  </si>
  <si>
    <t>SKU01858</t>
  </si>
  <si>
    <t>SKU03002</t>
  </si>
  <si>
    <t>Total Revenue</t>
  </si>
  <si>
    <t xml:space="preserve"> </t>
  </si>
  <si>
    <t>Total Orders</t>
  </si>
  <si>
    <t xml:space="preserve">Total Quantity </t>
  </si>
  <si>
    <t xml:space="preserve">Average Order Value </t>
  </si>
  <si>
    <t>Revenue Growth</t>
  </si>
  <si>
    <t>FORESIGHT – Retail Analytics Dashboard</t>
  </si>
  <si>
    <t xml:space="preserve">Total Revenue </t>
  </si>
  <si>
    <t>.</t>
  </si>
  <si>
    <t xml:space="preserve">Total Quantity   </t>
  </si>
  <si>
    <t xml:space="preserve">                    </t>
  </si>
  <si>
    <t xml:space="preserve">          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</si>
</sst>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yyyy\-mm\-dd\ hh:mm:ss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2" fontId="0" fillId="0" borderId="0" xfId="0" applyNumberFormat="1"/>
    <xf numFmtId="10" fontId="0" fillId="0" borderId="0" xfId="2" applyNumberFormat="1" applyFont="1"/>
    <xf numFmtId="0" fontId="4" fillId="0" borderId="0" xfId="0" applyFont="1"/>
    <xf numFmtId="0" fontId="3" fillId="0" borderId="0" xfId="0" applyFont="1"/>
    <xf numFmtId="43" fontId="5" fillId="0" borderId="0" xfId="0" applyNumberFormat="1" applyFont="1"/>
    <xf numFmtId="0" fontId="5" fillId="0" borderId="0" xfId="0" applyFont="1"/>
    <xf numFmtId="10" fontId="5" fillId="0" borderId="0" xfId="0" applyNumberFormat="1" applyFont="1"/>
    <xf numFmtId="0" fontId="6" fillId="0" borderId="1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 by year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'Yearly KPIs'!$A$1:$B$1</c:f>
              <c:strCache>
                <c:ptCount val="2"/>
                <c:pt idx="0">
                  <c:v>date</c:v>
                </c:pt>
                <c:pt idx="1">
                  <c:v>revenue</c:v>
                </c:pt>
              </c:strCache>
            </c:strRef>
          </c:cat>
          <c:val>
            <c:numRef>
              <c:f>'Yearly KPIs'!$A$2:$B$2</c:f>
              <c:numCache>
                <c:formatCode>General</c:formatCode>
                <c:ptCount val="2"/>
                <c:pt idx="0">
                  <c:v>2022</c:v>
                </c:pt>
                <c:pt idx="1">
                  <c:v>2579510530.6199999</c:v>
                </c:pt>
              </c:numCache>
            </c:numRef>
          </c:val>
        </c:ser>
        <c:ser>
          <c:idx val="1"/>
          <c:order val="1"/>
          <c:cat>
            <c:strRef>
              <c:f>'Yearly KPIs'!$A$1:$B$1</c:f>
              <c:strCache>
                <c:ptCount val="2"/>
                <c:pt idx="0">
                  <c:v>date</c:v>
                </c:pt>
                <c:pt idx="1">
                  <c:v>revenue</c:v>
                </c:pt>
              </c:strCache>
            </c:strRef>
          </c:cat>
          <c:val>
            <c:numRef>
              <c:f>'Yearly KPIs'!$A$3:$B$3</c:f>
              <c:numCache>
                <c:formatCode>General</c:formatCode>
                <c:ptCount val="2"/>
                <c:pt idx="0">
                  <c:v>2023</c:v>
                </c:pt>
                <c:pt idx="1">
                  <c:v>2629744244.3200002</c:v>
                </c:pt>
              </c:numCache>
            </c:numRef>
          </c:val>
        </c:ser>
        <c:ser>
          <c:idx val="2"/>
          <c:order val="2"/>
          <c:cat>
            <c:strRef>
              <c:f>'Yearly KPIs'!$A$1:$B$1</c:f>
              <c:strCache>
                <c:ptCount val="2"/>
                <c:pt idx="0">
                  <c:v>date</c:v>
                </c:pt>
                <c:pt idx="1">
                  <c:v>revenue</c:v>
                </c:pt>
              </c:strCache>
            </c:strRef>
          </c:cat>
          <c:val>
            <c:numRef>
              <c:f>'Yearly KPIs'!$A$4:$B$4</c:f>
              <c:numCache>
                <c:formatCode>General</c:formatCode>
                <c:ptCount val="2"/>
                <c:pt idx="0">
                  <c:v>2024</c:v>
                </c:pt>
                <c:pt idx="1">
                  <c:v>2682771998.3000002</c:v>
                </c:pt>
              </c:numCache>
            </c:numRef>
          </c:val>
        </c:ser>
        <c:ser>
          <c:idx val="3"/>
          <c:order val="3"/>
          <c:cat>
            <c:strRef>
              <c:f>'Yearly KPIs'!$A$1:$B$1</c:f>
              <c:strCache>
                <c:ptCount val="2"/>
                <c:pt idx="0">
                  <c:v>date</c:v>
                </c:pt>
                <c:pt idx="1">
                  <c:v>revenue</c:v>
                </c:pt>
              </c:strCache>
            </c:strRef>
          </c:cat>
          <c:val>
            <c:numRef>
              <c:f>'Yearly KPIs'!$A$5:$B$5</c:f>
              <c:numCache>
                <c:formatCode>General</c:formatCode>
                <c:ptCount val="2"/>
                <c:pt idx="0">
                  <c:v>2025</c:v>
                </c:pt>
                <c:pt idx="1">
                  <c:v>2978780574.46</c:v>
                </c:pt>
              </c:numCache>
            </c:numRef>
          </c:val>
        </c:ser>
        <c:axId val="70804608"/>
        <c:axId val="70806144"/>
      </c:barChart>
      <c:catAx>
        <c:axId val="70804608"/>
        <c:scaling>
          <c:orientation val="minMax"/>
        </c:scaling>
        <c:axPos val="b"/>
        <c:tickLblPos val="nextTo"/>
        <c:crossAx val="70806144"/>
        <c:crosses val="autoZero"/>
        <c:auto val="1"/>
        <c:lblAlgn val="ctr"/>
        <c:lblOffset val="100"/>
      </c:catAx>
      <c:valAx>
        <c:axId val="70806144"/>
        <c:scaling>
          <c:orientation val="minMax"/>
        </c:scaling>
        <c:axPos val="l"/>
        <c:majorGridlines/>
        <c:numFmt formatCode="General" sourceLinked="1"/>
        <c:tickLblPos val="nextTo"/>
        <c:crossAx val="7080460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Store</a:t>
            </a:r>
          </a:p>
        </c:rich>
      </c:tx>
      <c:layout>
        <c:manualLayout>
          <c:xMode val="edge"/>
          <c:yMode val="edge"/>
          <c:x val="0.37792023539189629"/>
          <c:y val="1.2962964538126339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'Store Performance'!$A$2:$A$31</c:f>
              <c:strCache>
                <c:ptCount val="30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  <c:pt idx="5">
                  <c:v>ST06</c:v>
                </c:pt>
                <c:pt idx="6">
                  <c:v>ST07</c:v>
                </c:pt>
                <c:pt idx="7">
                  <c:v>ST08</c:v>
                </c:pt>
                <c:pt idx="8">
                  <c:v>ST09</c:v>
                </c:pt>
                <c:pt idx="9">
                  <c:v>ST10</c:v>
                </c:pt>
                <c:pt idx="10">
                  <c:v>ST11</c:v>
                </c:pt>
                <c:pt idx="11">
                  <c:v>ST12</c:v>
                </c:pt>
                <c:pt idx="12">
                  <c:v>ST13</c:v>
                </c:pt>
                <c:pt idx="13">
                  <c:v>ST14</c:v>
                </c:pt>
                <c:pt idx="14">
                  <c:v>ST15</c:v>
                </c:pt>
                <c:pt idx="15">
                  <c:v>ST16</c:v>
                </c:pt>
                <c:pt idx="16">
                  <c:v>ST17</c:v>
                </c:pt>
                <c:pt idx="17">
                  <c:v>ST18</c:v>
                </c:pt>
                <c:pt idx="18">
                  <c:v>ST19</c:v>
                </c:pt>
                <c:pt idx="19">
                  <c:v>ST20</c:v>
                </c:pt>
                <c:pt idx="20">
                  <c:v>ST21</c:v>
                </c:pt>
                <c:pt idx="21">
                  <c:v>ST22</c:v>
                </c:pt>
                <c:pt idx="22">
                  <c:v>ST23</c:v>
                </c:pt>
                <c:pt idx="23">
                  <c:v>ST24</c:v>
                </c:pt>
                <c:pt idx="24">
                  <c:v>ST25</c:v>
                </c:pt>
                <c:pt idx="25">
                  <c:v>ST26</c:v>
                </c:pt>
                <c:pt idx="26">
                  <c:v>ST27</c:v>
                </c:pt>
                <c:pt idx="27">
                  <c:v>ST28</c:v>
                </c:pt>
                <c:pt idx="28">
                  <c:v>ST29</c:v>
                </c:pt>
                <c:pt idx="29">
                  <c:v>ST30</c:v>
                </c:pt>
              </c:strCache>
            </c:strRef>
          </c:cat>
          <c:val>
            <c:numRef>
              <c:f>'Store Performance'!$D$2:$D$31</c:f>
              <c:numCache>
                <c:formatCode>General</c:formatCode>
                <c:ptCount val="30"/>
                <c:pt idx="0">
                  <c:v>257856338.41999999</c:v>
                </c:pt>
                <c:pt idx="1">
                  <c:v>177803473.22999999</c:v>
                </c:pt>
                <c:pt idx="2">
                  <c:v>385174100.12</c:v>
                </c:pt>
                <c:pt idx="3">
                  <c:v>387342533.67000002</c:v>
                </c:pt>
                <c:pt idx="4">
                  <c:v>388740299.79000002</c:v>
                </c:pt>
                <c:pt idx="5">
                  <c:v>516620586.24000001</c:v>
                </c:pt>
                <c:pt idx="6">
                  <c:v>516509614.97000003</c:v>
                </c:pt>
                <c:pt idx="7">
                  <c:v>385917277.51999998</c:v>
                </c:pt>
                <c:pt idx="8">
                  <c:v>387147834.44999999</c:v>
                </c:pt>
                <c:pt idx="9">
                  <c:v>257704556.77000001</c:v>
                </c:pt>
                <c:pt idx="10">
                  <c:v>386559779.56999999</c:v>
                </c:pt>
                <c:pt idx="11">
                  <c:v>256281901.21000001</c:v>
                </c:pt>
                <c:pt idx="12">
                  <c:v>259612327.50999999</c:v>
                </c:pt>
                <c:pt idx="13">
                  <c:v>385628275.72000003</c:v>
                </c:pt>
                <c:pt idx="14">
                  <c:v>257438115.28999999</c:v>
                </c:pt>
                <c:pt idx="15">
                  <c:v>257595395.91</c:v>
                </c:pt>
                <c:pt idx="16">
                  <c:v>387202889.87</c:v>
                </c:pt>
                <c:pt idx="17">
                  <c:v>388390351.51999998</c:v>
                </c:pt>
                <c:pt idx="18">
                  <c:v>258563832.19999999</c:v>
                </c:pt>
                <c:pt idx="19">
                  <c:v>514038507.92000002</c:v>
                </c:pt>
                <c:pt idx="20">
                  <c:v>512287190.06</c:v>
                </c:pt>
                <c:pt idx="21">
                  <c:v>514302234.85000002</c:v>
                </c:pt>
                <c:pt idx="22">
                  <c:v>256656894.72</c:v>
                </c:pt>
                <c:pt idx="23">
                  <c:v>257288982.66999999</c:v>
                </c:pt>
                <c:pt idx="24">
                  <c:v>256808673.16</c:v>
                </c:pt>
                <c:pt idx="25">
                  <c:v>259694108.56999999</c:v>
                </c:pt>
                <c:pt idx="26">
                  <c:v>386583133.19</c:v>
                </c:pt>
                <c:pt idx="27">
                  <c:v>386868998.49000001</c:v>
                </c:pt>
                <c:pt idx="28">
                  <c:v>516023788.31999999</c:v>
                </c:pt>
                <c:pt idx="29">
                  <c:v>512165351.76999998</c:v>
                </c:pt>
              </c:numCache>
            </c:numRef>
          </c:val>
        </c:ser>
        <c:axId val="70823296"/>
        <c:axId val="66565248"/>
      </c:barChart>
      <c:catAx>
        <c:axId val="70823296"/>
        <c:scaling>
          <c:orientation val="minMax"/>
        </c:scaling>
        <c:axPos val="b"/>
        <c:tickLblPos val="nextTo"/>
        <c:crossAx val="66565248"/>
        <c:crosses val="autoZero"/>
        <c:auto val="1"/>
        <c:lblAlgn val="ctr"/>
        <c:lblOffset val="100"/>
      </c:catAx>
      <c:valAx>
        <c:axId val="66565248"/>
        <c:scaling>
          <c:orientation val="minMax"/>
        </c:scaling>
        <c:axPos val="l"/>
        <c:majorGridlines/>
        <c:numFmt formatCode="General" sourceLinked="1"/>
        <c:tickLblPos val="nextTo"/>
        <c:crossAx val="708232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Store</a:t>
            </a:r>
            <a:r>
              <a:rPr lang="en-US" baseline="0"/>
              <a:t> Type </a:t>
            </a:r>
            <a:endParaRPr lang="en-US"/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'Store Type'!$B$1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'Store Type'!$A$2:$A$5</c:f>
              <c:strCache>
                <c:ptCount val="4"/>
                <c:pt idx="0">
                  <c:v>Convenience Store</c:v>
                </c:pt>
                <c:pt idx="1">
                  <c:v>Express Store</c:v>
                </c:pt>
                <c:pt idx="2">
                  <c:v>Hypermarket</c:v>
                </c:pt>
                <c:pt idx="3">
                  <c:v>Supermarket</c:v>
                </c:pt>
              </c:strCache>
            </c:strRef>
          </c:cat>
          <c:val>
            <c:numRef>
              <c:f>'Store Type'!$B$2:$B$5</c:f>
              <c:numCache>
                <c:formatCode>General</c:formatCode>
                <c:ptCount val="4"/>
                <c:pt idx="0">
                  <c:v>2835501126.4299998</c:v>
                </c:pt>
                <c:pt idx="1">
                  <c:v>177803473.22999999</c:v>
                </c:pt>
                <c:pt idx="2">
                  <c:v>3601947274.1300001</c:v>
                </c:pt>
                <c:pt idx="3">
                  <c:v>4255555473.9099998</c:v>
                </c:pt>
              </c:numCache>
            </c:numRef>
          </c:val>
        </c:ser>
        <c:axId val="66569728"/>
        <c:axId val="70854912"/>
      </c:barChart>
      <c:catAx>
        <c:axId val="66569728"/>
        <c:scaling>
          <c:orientation val="minMax"/>
        </c:scaling>
        <c:axPos val="b"/>
        <c:tickLblPos val="nextTo"/>
        <c:crossAx val="70854912"/>
        <c:crosses val="autoZero"/>
        <c:auto val="1"/>
        <c:lblAlgn val="ctr"/>
        <c:lblOffset val="100"/>
      </c:catAx>
      <c:valAx>
        <c:axId val="70854912"/>
        <c:scaling>
          <c:orientation val="minMax"/>
        </c:scaling>
        <c:axPos val="l"/>
        <c:majorGridlines/>
        <c:numFmt formatCode="General" sourceLinked="1"/>
        <c:tickLblPos val="nextTo"/>
        <c:crossAx val="6656972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 replenishment risk  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'Category Risk'!$B$1</c:f>
              <c:strCache>
                <c:ptCount val="1"/>
                <c:pt idx="0">
                  <c:v>high_risk_items</c:v>
                </c:pt>
              </c:strCache>
            </c:strRef>
          </c:tx>
          <c:cat>
            <c:strRef>
              <c:f>'Category Risk'!$A$2:$A$13</c:f>
              <c:strCache>
                <c:ptCount val="12"/>
                <c:pt idx="0">
                  <c:v>Apparel &amp; Footwear</c:v>
                </c:pt>
                <c:pt idx="1">
                  <c:v>Beverages</c:v>
                </c:pt>
                <c:pt idx="2">
                  <c:v>Dairy &amp; Bakery</c:v>
                </c:pt>
                <c:pt idx="3">
                  <c:v>Electronics &amp; Accessories</c:v>
                </c:pt>
                <c:pt idx="4">
                  <c:v>Frozen Foods</c:v>
                </c:pt>
                <c:pt idx="5">
                  <c:v>Grocery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Home Care</c:v>
                </c:pt>
                <c:pt idx="9">
                  <c:v>Personal Care</c:v>
                </c:pt>
                <c:pt idx="10">
                  <c:v>Snacks &amp; Confectionery</c:v>
                </c:pt>
                <c:pt idx="11">
                  <c:v>Stationery &amp; Office</c:v>
                </c:pt>
              </c:strCache>
            </c:strRef>
          </c:cat>
          <c:val>
            <c:numRef>
              <c:f>'Category Risk'!$B$2:$B$13</c:f>
              <c:numCache>
                <c:formatCode>General</c:formatCode>
                <c:ptCount val="12"/>
                <c:pt idx="0">
                  <c:v>257</c:v>
                </c:pt>
                <c:pt idx="1">
                  <c:v>251</c:v>
                </c:pt>
                <c:pt idx="2">
                  <c:v>373</c:v>
                </c:pt>
                <c:pt idx="3">
                  <c:v>349</c:v>
                </c:pt>
                <c:pt idx="4">
                  <c:v>387</c:v>
                </c:pt>
                <c:pt idx="5">
                  <c:v>320</c:v>
                </c:pt>
                <c:pt idx="6">
                  <c:v>319</c:v>
                </c:pt>
                <c:pt idx="7">
                  <c:v>360</c:v>
                </c:pt>
                <c:pt idx="8">
                  <c:v>417</c:v>
                </c:pt>
                <c:pt idx="9">
                  <c:v>447</c:v>
                </c:pt>
                <c:pt idx="10">
                  <c:v>267</c:v>
                </c:pt>
                <c:pt idx="11">
                  <c:v>492</c:v>
                </c:pt>
              </c:numCache>
            </c:numRef>
          </c:val>
        </c:ser>
        <c:ser>
          <c:idx val="1"/>
          <c:order val="1"/>
          <c:tx>
            <c:strRef>
              <c:f>'Category Risk'!$C$1</c:f>
              <c:strCache>
                <c:ptCount val="1"/>
                <c:pt idx="0">
                  <c:v>replenishment_value</c:v>
                </c:pt>
              </c:strCache>
            </c:strRef>
          </c:tx>
          <c:cat>
            <c:strRef>
              <c:f>'Category Risk'!$A$2:$A$13</c:f>
              <c:strCache>
                <c:ptCount val="12"/>
                <c:pt idx="0">
                  <c:v>Apparel &amp; Footwear</c:v>
                </c:pt>
                <c:pt idx="1">
                  <c:v>Beverages</c:v>
                </c:pt>
                <c:pt idx="2">
                  <c:v>Dairy &amp; Bakery</c:v>
                </c:pt>
                <c:pt idx="3">
                  <c:v>Electronics &amp; Accessories</c:v>
                </c:pt>
                <c:pt idx="4">
                  <c:v>Frozen Foods</c:v>
                </c:pt>
                <c:pt idx="5">
                  <c:v>Grocery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Home Care</c:v>
                </c:pt>
                <c:pt idx="9">
                  <c:v>Personal Care</c:v>
                </c:pt>
                <c:pt idx="10">
                  <c:v>Snacks &amp; Confectionery</c:v>
                </c:pt>
                <c:pt idx="11">
                  <c:v>Stationery &amp; Office</c:v>
                </c:pt>
              </c:strCache>
            </c:strRef>
          </c:cat>
          <c:val>
            <c:numRef>
              <c:f>'Category Risk'!$C$2:$C$13</c:f>
              <c:numCache>
                <c:formatCode>General</c:formatCode>
                <c:ptCount val="12"/>
                <c:pt idx="0">
                  <c:v>19293539.91</c:v>
                </c:pt>
                <c:pt idx="1">
                  <c:v>1505435.08</c:v>
                </c:pt>
                <c:pt idx="2">
                  <c:v>3005253.32</c:v>
                </c:pt>
                <c:pt idx="3">
                  <c:v>23925900.879999999</c:v>
                </c:pt>
                <c:pt idx="4">
                  <c:v>8359596.3399999999</c:v>
                </c:pt>
                <c:pt idx="5">
                  <c:v>2829755.27</c:v>
                </c:pt>
                <c:pt idx="6">
                  <c:v>8618904.3300000001</c:v>
                </c:pt>
                <c:pt idx="7">
                  <c:v>17774210.859999999</c:v>
                </c:pt>
                <c:pt idx="8">
                  <c:v>4801373.1499999994</c:v>
                </c:pt>
                <c:pt idx="9">
                  <c:v>6710199.7599999998</c:v>
                </c:pt>
                <c:pt idx="10">
                  <c:v>1144345.3</c:v>
                </c:pt>
                <c:pt idx="11">
                  <c:v>3548994.71</c:v>
                </c:pt>
              </c:numCache>
            </c:numRef>
          </c:val>
        </c:ser>
        <c:axId val="71130112"/>
        <c:axId val="71140096"/>
      </c:barChart>
      <c:catAx>
        <c:axId val="71130112"/>
        <c:scaling>
          <c:orientation val="minMax"/>
        </c:scaling>
        <c:axPos val="b"/>
        <c:tickLblPos val="nextTo"/>
        <c:crossAx val="71140096"/>
        <c:crosses val="autoZero"/>
        <c:auto val="1"/>
        <c:lblAlgn val="ctr"/>
        <c:lblOffset val="100"/>
      </c:catAx>
      <c:valAx>
        <c:axId val="71140096"/>
        <c:scaling>
          <c:orientation val="minMax"/>
        </c:scaling>
        <c:axPos val="l"/>
        <c:majorGridlines/>
        <c:numFmt formatCode="General" sourceLinked="1"/>
        <c:tickLblPos val="nextTo"/>
        <c:crossAx val="7113011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priority SKUs</a:t>
            </a:r>
          </a:p>
        </c:rich>
      </c:tx>
      <c:layout>
        <c:manualLayout>
          <c:xMode val="edge"/>
          <c:yMode val="edge"/>
          <c:x val="0.27222222222222225"/>
          <c:y val="3.2407407407407413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'Priority SKUs'!$D$1</c:f>
              <c:strCache>
                <c:ptCount val="1"/>
                <c:pt idx="0">
                  <c:v>replenishment_value</c:v>
                </c:pt>
              </c:strCache>
            </c:strRef>
          </c:tx>
          <c:cat>
            <c:strRef>
              <c:f>'Priority SKUs'!$A$2:$A$11</c:f>
              <c:strCache>
                <c:ptCount val="10"/>
                <c:pt idx="0">
                  <c:v>SKU04157</c:v>
                </c:pt>
                <c:pt idx="1">
                  <c:v>SKU02833</c:v>
                </c:pt>
                <c:pt idx="2">
                  <c:v>SKU00728</c:v>
                </c:pt>
                <c:pt idx="3">
                  <c:v>SKU03053</c:v>
                </c:pt>
                <c:pt idx="4">
                  <c:v>SKU00531</c:v>
                </c:pt>
                <c:pt idx="5">
                  <c:v>SKU02046</c:v>
                </c:pt>
                <c:pt idx="6">
                  <c:v>SKU04551</c:v>
                </c:pt>
                <c:pt idx="7">
                  <c:v>SKU03323</c:v>
                </c:pt>
                <c:pt idx="8">
                  <c:v>SKU04783</c:v>
                </c:pt>
                <c:pt idx="9">
                  <c:v>SKU04329</c:v>
                </c:pt>
              </c:strCache>
            </c:strRef>
          </c:cat>
          <c:val>
            <c:numRef>
              <c:f>'Priority SKUs'!$D$2:$D$11</c:f>
              <c:numCache>
                <c:formatCode>General</c:formatCode>
                <c:ptCount val="10"/>
                <c:pt idx="0">
                  <c:v>3813298</c:v>
                </c:pt>
                <c:pt idx="1">
                  <c:v>3403827.07</c:v>
                </c:pt>
                <c:pt idx="2">
                  <c:v>3109954.21</c:v>
                </c:pt>
                <c:pt idx="3">
                  <c:v>3067223.4</c:v>
                </c:pt>
                <c:pt idx="4">
                  <c:v>2674004.16</c:v>
                </c:pt>
                <c:pt idx="5">
                  <c:v>2311409.7599999998</c:v>
                </c:pt>
                <c:pt idx="6">
                  <c:v>2237589.2000000002</c:v>
                </c:pt>
                <c:pt idx="7">
                  <c:v>2188734.36</c:v>
                </c:pt>
                <c:pt idx="8">
                  <c:v>2152388.9700000002</c:v>
                </c:pt>
                <c:pt idx="9">
                  <c:v>2084591.4</c:v>
                </c:pt>
              </c:numCache>
            </c:numRef>
          </c:val>
        </c:ser>
        <c:axId val="71176960"/>
        <c:axId val="71178496"/>
      </c:barChart>
      <c:catAx>
        <c:axId val="71176960"/>
        <c:scaling>
          <c:orientation val="minMax"/>
        </c:scaling>
        <c:axPos val="b"/>
        <c:tickLblPos val="nextTo"/>
        <c:crossAx val="71178496"/>
        <c:crosses val="autoZero"/>
        <c:auto val="1"/>
        <c:lblAlgn val="ctr"/>
        <c:lblOffset val="100"/>
      </c:catAx>
      <c:valAx>
        <c:axId val="71178496"/>
        <c:scaling>
          <c:orientation val="minMax"/>
        </c:scaling>
        <c:axPos val="l"/>
        <c:majorGridlines/>
        <c:numFmt formatCode="General" sourceLinked="1"/>
        <c:tickLblPos val="nextTo"/>
        <c:crossAx val="711769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 by year</a:t>
            </a:r>
            <a:r>
              <a:rPr lang="en-US" baseline="0"/>
              <a:t> </a:t>
            </a:r>
            <a:r>
              <a:rPr lang="en-US"/>
              <a:t>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numRef>
              <c:f>'Yearly KPIs'!$A$2:$A$5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'Yearly KPIs'!$B$2:$B$5</c:f>
              <c:numCache>
                <c:formatCode>General</c:formatCode>
                <c:ptCount val="4"/>
                <c:pt idx="0">
                  <c:v>2579510530.6199999</c:v>
                </c:pt>
                <c:pt idx="1">
                  <c:v>2629744244.3200002</c:v>
                </c:pt>
                <c:pt idx="2">
                  <c:v>2682771998.3000002</c:v>
                </c:pt>
                <c:pt idx="3">
                  <c:v>2978780574.46</c:v>
                </c:pt>
              </c:numCache>
            </c:numRef>
          </c:val>
        </c:ser>
        <c:axId val="71235840"/>
        <c:axId val="72765440"/>
      </c:barChart>
      <c:catAx>
        <c:axId val="71235840"/>
        <c:scaling>
          <c:orientation val="minMax"/>
        </c:scaling>
        <c:axPos val="b"/>
        <c:numFmt formatCode="General" sourceLinked="1"/>
        <c:tickLblPos val="nextTo"/>
        <c:crossAx val="72765440"/>
        <c:crosses val="autoZero"/>
        <c:auto val="1"/>
        <c:lblAlgn val="ctr"/>
        <c:lblOffset val="100"/>
      </c:catAx>
      <c:valAx>
        <c:axId val="72765440"/>
        <c:scaling>
          <c:orientation val="minMax"/>
        </c:scaling>
        <c:axPos val="l"/>
        <c:majorGridlines/>
        <c:numFmt formatCode="General" sourceLinked="1"/>
        <c:tickLblPos val="nextTo"/>
        <c:crossAx val="7123584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Category Replenishment Risk  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'Category Risk'!$B$1</c:f>
              <c:strCache>
                <c:ptCount val="1"/>
                <c:pt idx="0">
                  <c:v>high_risk_items</c:v>
                </c:pt>
              </c:strCache>
            </c:strRef>
          </c:tx>
          <c:cat>
            <c:strRef>
              <c:f>'Category Risk'!$A$2:$A$13</c:f>
              <c:strCache>
                <c:ptCount val="12"/>
                <c:pt idx="0">
                  <c:v>Apparel &amp; Footwear</c:v>
                </c:pt>
                <c:pt idx="1">
                  <c:v>Beverages</c:v>
                </c:pt>
                <c:pt idx="2">
                  <c:v>Dairy &amp; Bakery</c:v>
                </c:pt>
                <c:pt idx="3">
                  <c:v>Electronics &amp; Accessories</c:v>
                </c:pt>
                <c:pt idx="4">
                  <c:v>Frozen Foods</c:v>
                </c:pt>
                <c:pt idx="5">
                  <c:v>Grocery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Home Care</c:v>
                </c:pt>
                <c:pt idx="9">
                  <c:v>Personal Care</c:v>
                </c:pt>
                <c:pt idx="10">
                  <c:v>Snacks &amp; Confectionery</c:v>
                </c:pt>
                <c:pt idx="11">
                  <c:v>Stationery &amp; Office</c:v>
                </c:pt>
              </c:strCache>
            </c:strRef>
          </c:cat>
          <c:val>
            <c:numRef>
              <c:f>'Category Risk'!$B$2:$B$13</c:f>
              <c:numCache>
                <c:formatCode>General</c:formatCode>
                <c:ptCount val="12"/>
                <c:pt idx="0">
                  <c:v>257</c:v>
                </c:pt>
                <c:pt idx="1">
                  <c:v>251</c:v>
                </c:pt>
                <c:pt idx="2">
                  <c:v>373</c:v>
                </c:pt>
                <c:pt idx="3">
                  <c:v>349</c:v>
                </c:pt>
                <c:pt idx="4">
                  <c:v>387</c:v>
                </c:pt>
                <c:pt idx="5">
                  <c:v>320</c:v>
                </c:pt>
                <c:pt idx="6">
                  <c:v>319</c:v>
                </c:pt>
                <c:pt idx="7">
                  <c:v>360</c:v>
                </c:pt>
                <c:pt idx="8">
                  <c:v>417</c:v>
                </c:pt>
                <c:pt idx="9">
                  <c:v>447</c:v>
                </c:pt>
                <c:pt idx="10">
                  <c:v>267</c:v>
                </c:pt>
                <c:pt idx="11">
                  <c:v>492</c:v>
                </c:pt>
              </c:numCache>
            </c:numRef>
          </c:val>
        </c:ser>
        <c:axId val="72807936"/>
        <c:axId val="72809472"/>
      </c:barChart>
      <c:barChart>
        <c:barDir val="col"/>
        <c:grouping val="clustered"/>
        <c:ser>
          <c:idx val="1"/>
          <c:order val="1"/>
          <c:tx>
            <c:strRef>
              <c:f>'Category Risk'!$C$1</c:f>
              <c:strCache>
                <c:ptCount val="1"/>
                <c:pt idx="0">
                  <c:v>replenishment_value</c:v>
                </c:pt>
              </c:strCache>
            </c:strRef>
          </c:tx>
          <c:cat>
            <c:strRef>
              <c:f>'Category Risk'!$A$2:$A$13</c:f>
              <c:strCache>
                <c:ptCount val="12"/>
                <c:pt idx="0">
                  <c:v>Apparel &amp; Footwear</c:v>
                </c:pt>
                <c:pt idx="1">
                  <c:v>Beverages</c:v>
                </c:pt>
                <c:pt idx="2">
                  <c:v>Dairy &amp; Bakery</c:v>
                </c:pt>
                <c:pt idx="3">
                  <c:v>Electronics &amp; Accessories</c:v>
                </c:pt>
                <c:pt idx="4">
                  <c:v>Frozen Foods</c:v>
                </c:pt>
                <c:pt idx="5">
                  <c:v>Grocery</c:v>
                </c:pt>
                <c:pt idx="6">
                  <c:v>Health &amp; Wellness</c:v>
                </c:pt>
                <c:pt idx="7">
                  <c:v>Home &amp; Kitchen</c:v>
                </c:pt>
                <c:pt idx="8">
                  <c:v>Home Care</c:v>
                </c:pt>
                <c:pt idx="9">
                  <c:v>Personal Care</c:v>
                </c:pt>
                <c:pt idx="10">
                  <c:v>Snacks &amp; Confectionery</c:v>
                </c:pt>
                <c:pt idx="11">
                  <c:v>Stationery &amp; Office</c:v>
                </c:pt>
              </c:strCache>
            </c:strRef>
          </c:cat>
          <c:val>
            <c:numRef>
              <c:f>'Category Risk'!$C$2:$C$13</c:f>
              <c:numCache>
                <c:formatCode>General</c:formatCode>
                <c:ptCount val="12"/>
                <c:pt idx="0">
                  <c:v>19293539.91</c:v>
                </c:pt>
                <c:pt idx="1">
                  <c:v>1505435.08</c:v>
                </c:pt>
                <c:pt idx="2">
                  <c:v>3005253.32</c:v>
                </c:pt>
                <c:pt idx="3">
                  <c:v>23925900.879999999</c:v>
                </c:pt>
                <c:pt idx="4">
                  <c:v>8359596.3399999999</c:v>
                </c:pt>
                <c:pt idx="5">
                  <c:v>2829755.27</c:v>
                </c:pt>
                <c:pt idx="6">
                  <c:v>8618904.3300000001</c:v>
                </c:pt>
                <c:pt idx="7">
                  <c:v>17774210.859999999</c:v>
                </c:pt>
                <c:pt idx="8">
                  <c:v>4801373.1499999994</c:v>
                </c:pt>
                <c:pt idx="9">
                  <c:v>6710199.7599999998</c:v>
                </c:pt>
                <c:pt idx="10">
                  <c:v>1144345.3</c:v>
                </c:pt>
                <c:pt idx="11">
                  <c:v>3548994.71</c:v>
                </c:pt>
              </c:numCache>
            </c:numRef>
          </c:val>
        </c:ser>
        <c:axId val="71305472"/>
        <c:axId val="71303936"/>
      </c:barChart>
      <c:catAx>
        <c:axId val="72807936"/>
        <c:scaling>
          <c:orientation val="minMax"/>
        </c:scaling>
        <c:axPos val="b"/>
        <c:tickLblPos val="nextTo"/>
        <c:crossAx val="72809472"/>
        <c:crosses val="autoZero"/>
        <c:auto val="1"/>
        <c:lblAlgn val="ctr"/>
        <c:lblOffset val="100"/>
      </c:catAx>
      <c:valAx>
        <c:axId val="72809472"/>
        <c:scaling>
          <c:orientation val="minMax"/>
        </c:scaling>
        <c:axPos val="l"/>
        <c:majorGridlines/>
        <c:numFmt formatCode="General" sourceLinked="1"/>
        <c:tickLblPos val="nextTo"/>
        <c:crossAx val="72807936"/>
        <c:crosses val="autoZero"/>
        <c:crossBetween val="between"/>
      </c:valAx>
      <c:valAx>
        <c:axId val="71303936"/>
        <c:scaling>
          <c:orientation val="minMax"/>
        </c:scaling>
        <c:axPos val="r"/>
        <c:numFmt formatCode="General" sourceLinked="1"/>
        <c:tickLblPos val="nextTo"/>
        <c:crossAx val="71305472"/>
        <c:crosses val="max"/>
        <c:crossBetween val="between"/>
      </c:valAx>
      <c:catAx>
        <c:axId val="71305472"/>
        <c:scaling>
          <c:orientation val="minMax"/>
        </c:scaling>
        <c:delete val="1"/>
        <c:axPos val="b"/>
        <c:tickLblPos val="nextTo"/>
        <c:crossAx val="71303936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Store</a:t>
            </a:r>
          </a:p>
        </c:rich>
      </c:tx>
      <c:layout>
        <c:manualLayout>
          <c:xMode val="edge"/>
          <c:yMode val="edge"/>
          <c:x val="0.37792023539189656"/>
          <c:y val="1.2962964538126339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'Store Performance'!$A$2</c:f>
              <c:strCache>
                <c:ptCount val="1"/>
                <c:pt idx="0">
                  <c:v>ST01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</c:f>
              <c:numCache>
                <c:formatCode>General</c:formatCode>
                <c:ptCount val="1"/>
                <c:pt idx="0">
                  <c:v>257856338.41999999</c:v>
                </c:pt>
              </c:numCache>
            </c:numRef>
          </c:val>
        </c:ser>
        <c:ser>
          <c:idx val="1"/>
          <c:order val="1"/>
          <c:tx>
            <c:strRef>
              <c:f>'Store Performance'!$A$3</c:f>
              <c:strCache>
                <c:ptCount val="1"/>
                <c:pt idx="0">
                  <c:v>ST02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Performance'!$D$3</c:f>
              <c:numCache>
                <c:formatCode>General</c:formatCode>
                <c:ptCount val="1"/>
                <c:pt idx="0">
                  <c:v>177803473.22999999</c:v>
                </c:pt>
              </c:numCache>
            </c:numRef>
          </c:val>
        </c:ser>
        <c:ser>
          <c:idx val="2"/>
          <c:order val="2"/>
          <c:tx>
            <c:strRef>
              <c:f>'Store Performance'!$A$4</c:f>
              <c:strCache>
                <c:ptCount val="1"/>
                <c:pt idx="0">
                  <c:v>ST03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Performance'!$D$4</c:f>
              <c:numCache>
                <c:formatCode>General</c:formatCode>
                <c:ptCount val="1"/>
                <c:pt idx="0">
                  <c:v>385174100.12</c:v>
                </c:pt>
              </c:numCache>
            </c:numRef>
          </c:val>
        </c:ser>
        <c:ser>
          <c:idx val="3"/>
          <c:order val="3"/>
          <c:tx>
            <c:strRef>
              <c:f>'Store Performance'!$A$5</c:f>
              <c:strCache>
                <c:ptCount val="1"/>
                <c:pt idx="0">
                  <c:v>ST04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Performance'!$D$5</c:f>
              <c:numCache>
                <c:formatCode>General</c:formatCode>
                <c:ptCount val="1"/>
                <c:pt idx="0">
                  <c:v>387342533.67000002</c:v>
                </c:pt>
              </c:numCache>
            </c:numRef>
          </c:val>
        </c:ser>
        <c:ser>
          <c:idx val="4"/>
          <c:order val="4"/>
          <c:tx>
            <c:strRef>
              <c:f>'Store Performance'!$A$6</c:f>
              <c:strCache>
                <c:ptCount val="1"/>
                <c:pt idx="0">
                  <c:v>ST05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Performance'!$D$6</c:f>
              <c:numCache>
                <c:formatCode>General</c:formatCode>
                <c:ptCount val="1"/>
                <c:pt idx="0">
                  <c:v>388740299.79000002</c:v>
                </c:pt>
              </c:numCache>
            </c:numRef>
          </c:val>
        </c:ser>
        <c:ser>
          <c:idx val="5"/>
          <c:order val="5"/>
          <c:tx>
            <c:strRef>
              <c:f>'Store Performance'!$A$7</c:f>
              <c:strCache>
                <c:ptCount val="1"/>
                <c:pt idx="0">
                  <c:v>ST06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Performance'!$D$7</c:f>
              <c:numCache>
                <c:formatCode>General</c:formatCode>
                <c:ptCount val="1"/>
                <c:pt idx="0">
                  <c:v>516620586.24000001</c:v>
                </c:pt>
              </c:numCache>
            </c:numRef>
          </c:val>
        </c:ser>
        <c:ser>
          <c:idx val="6"/>
          <c:order val="6"/>
          <c:tx>
            <c:strRef>
              <c:f>'Store Performance'!$A$8</c:f>
              <c:strCache>
                <c:ptCount val="1"/>
                <c:pt idx="0">
                  <c:v>ST07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Performance'!$D$8</c:f>
              <c:numCache>
                <c:formatCode>General</c:formatCode>
                <c:ptCount val="1"/>
                <c:pt idx="0">
                  <c:v>516509614.97000003</c:v>
                </c:pt>
              </c:numCache>
            </c:numRef>
          </c:val>
        </c:ser>
        <c:ser>
          <c:idx val="7"/>
          <c:order val="7"/>
          <c:tx>
            <c:strRef>
              <c:f>'Store Performance'!$A$9</c:f>
              <c:strCache>
                <c:ptCount val="1"/>
                <c:pt idx="0">
                  <c:v>ST08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Performance'!$D$9</c:f>
              <c:numCache>
                <c:formatCode>General</c:formatCode>
                <c:ptCount val="1"/>
                <c:pt idx="0">
                  <c:v>385917277.51999998</c:v>
                </c:pt>
              </c:numCache>
            </c:numRef>
          </c:val>
        </c:ser>
        <c:ser>
          <c:idx val="8"/>
          <c:order val="8"/>
          <c:tx>
            <c:strRef>
              <c:f>'Store Performance'!$A$10</c:f>
              <c:strCache>
                <c:ptCount val="1"/>
                <c:pt idx="0">
                  <c:v>ST09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Performance'!$D$10</c:f>
              <c:numCache>
                <c:formatCode>General</c:formatCode>
                <c:ptCount val="1"/>
                <c:pt idx="0">
                  <c:v>387147834.44999999</c:v>
                </c:pt>
              </c:numCache>
            </c:numRef>
          </c:val>
        </c:ser>
        <c:ser>
          <c:idx val="9"/>
          <c:order val="9"/>
          <c:tx>
            <c:strRef>
              <c:f>'Store Performance'!$A$11</c:f>
              <c:strCache>
                <c:ptCount val="1"/>
                <c:pt idx="0">
                  <c:v>ST10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Performance'!$D$11</c:f>
              <c:numCache>
                <c:formatCode>General</c:formatCode>
                <c:ptCount val="1"/>
                <c:pt idx="0">
                  <c:v>257704556.77000001</c:v>
                </c:pt>
              </c:numCache>
            </c:numRef>
          </c:val>
        </c:ser>
        <c:ser>
          <c:idx val="10"/>
          <c:order val="10"/>
          <c:tx>
            <c:strRef>
              <c:f>'Store Performance'!$A$12</c:f>
              <c:strCache>
                <c:ptCount val="1"/>
                <c:pt idx="0">
                  <c:v>ST11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Performance'!$D$12</c:f>
              <c:numCache>
                <c:formatCode>General</c:formatCode>
                <c:ptCount val="1"/>
                <c:pt idx="0">
                  <c:v>386559779.56999999</c:v>
                </c:pt>
              </c:numCache>
            </c:numRef>
          </c:val>
        </c:ser>
        <c:ser>
          <c:idx val="11"/>
          <c:order val="11"/>
          <c:tx>
            <c:strRef>
              <c:f>'Store Performance'!$A$13</c:f>
              <c:strCache>
                <c:ptCount val="1"/>
                <c:pt idx="0">
                  <c:v>ST12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Performance'!$D$13</c:f>
              <c:numCache>
                <c:formatCode>General</c:formatCode>
                <c:ptCount val="1"/>
                <c:pt idx="0">
                  <c:v>256281901.21000001</c:v>
                </c:pt>
              </c:numCache>
            </c:numRef>
          </c:val>
        </c:ser>
        <c:ser>
          <c:idx val="12"/>
          <c:order val="12"/>
          <c:tx>
            <c:strRef>
              <c:f>'Store Performance'!$A$14</c:f>
              <c:strCache>
                <c:ptCount val="1"/>
                <c:pt idx="0">
                  <c:v>ST13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Performance'!$D$14</c:f>
              <c:numCache>
                <c:formatCode>General</c:formatCode>
                <c:ptCount val="1"/>
                <c:pt idx="0">
                  <c:v>259612327.50999999</c:v>
                </c:pt>
              </c:numCache>
            </c:numRef>
          </c:val>
        </c:ser>
        <c:ser>
          <c:idx val="13"/>
          <c:order val="13"/>
          <c:tx>
            <c:strRef>
              <c:f>'Store Performance'!$A$15</c:f>
              <c:strCache>
                <c:ptCount val="1"/>
                <c:pt idx="0">
                  <c:v>ST14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Performance'!$D$15</c:f>
              <c:numCache>
                <c:formatCode>General</c:formatCode>
                <c:ptCount val="1"/>
                <c:pt idx="0">
                  <c:v>385628275.72000003</c:v>
                </c:pt>
              </c:numCache>
            </c:numRef>
          </c:val>
        </c:ser>
        <c:ser>
          <c:idx val="14"/>
          <c:order val="14"/>
          <c:tx>
            <c:strRef>
              <c:f>'Store Performance'!$A$16</c:f>
              <c:strCache>
                <c:ptCount val="1"/>
                <c:pt idx="0">
                  <c:v>ST15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Performance'!$D$16</c:f>
              <c:numCache>
                <c:formatCode>General</c:formatCode>
                <c:ptCount val="1"/>
                <c:pt idx="0">
                  <c:v>257438115.28999999</c:v>
                </c:pt>
              </c:numCache>
            </c:numRef>
          </c:val>
        </c:ser>
        <c:ser>
          <c:idx val="15"/>
          <c:order val="15"/>
          <c:tx>
            <c:strRef>
              <c:f>'Store Performance'!$A$17</c:f>
              <c:strCache>
                <c:ptCount val="1"/>
                <c:pt idx="0">
                  <c:v>ST16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Performance'!$D$17</c:f>
              <c:numCache>
                <c:formatCode>General</c:formatCode>
                <c:ptCount val="1"/>
                <c:pt idx="0">
                  <c:v>257595395.91</c:v>
                </c:pt>
              </c:numCache>
            </c:numRef>
          </c:val>
        </c:ser>
        <c:ser>
          <c:idx val="16"/>
          <c:order val="16"/>
          <c:tx>
            <c:strRef>
              <c:f>'Store Performance'!$A$18</c:f>
              <c:strCache>
                <c:ptCount val="1"/>
                <c:pt idx="0">
                  <c:v>ST17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Performance'!$D$18</c:f>
              <c:numCache>
                <c:formatCode>General</c:formatCode>
                <c:ptCount val="1"/>
                <c:pt idx="0">
                  <c:v>387202889.87</c:v>
                </c:pt>
              </c:numCache>
            </c:numRef>
          </c:val>
        </c:ser>
        <c:ser>
          <c:idx val="17"/>
          <c:order val="17"/>
          <c:tx>
            <c:strRef>
              <c:f>'Store Performance'!$A$19</c:f>
              <c:strCache>
                <c:ptCount val="1"/>
                <c:pt idx="0">
                  <c:v>ST18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Performance'!$D$19</c:f>
              <c:numCache>
                <c:formatCode>General</c:formatCode>
                <c:ptCount val="1"/>
                <c:pt idx="0">
                  <c:v>388390351.51999998</c:v>
                </c:pt>
              </c:numCache>
            </c:numRef>
          </c:val>
        </c:ser>
        <c:ser>
          <c:idx val="18"/>
          <c:order val="18"/>
          <c:tx>
            <c:strRef>
              <c:f>'Store Performance'!$A$20</c:f>
              <c:strCache>
                <c:ptCount val="1"/>
                <c:pt idx="0">
                  <c:v>ST19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Performance'!$D$20</c:f>
              <c:numCache>
                <c:formatCode>General</c:formatCode>
                <c:ptCount val="1"/>
                <c:pt idx="0">
                  <c:v>258563832.19999999</c:v>
                </c:pt>
              </c:numCache>
            </c:numRef>
          </c:val>
        </c:ser>
        <c:ser>
          <c:idx val="19"/>
          <c:order val="19"/>
          <c:tx>
            <c:strRef>
              <c:f>'Store Performance'!$A$21</c:f>
              <c:strCache>
                <c:ptCount val="1"/>
                <c:pt idx="0">
                  <c:v>ST20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Performance'!$D$21</c:f>
              <c:numCache>
                <c:formatCode>General</c:formatCode>
                <c:ptCount val="1"/>
                <c:pt idx="0">
                  <c:v>514038507.92000002</c:v>
                </c:pt>
              </c:numCache>
            </c:numRef>
          </c:val>
        </c:ser>
        <c:ser>
          <c:idx val="20"/>
          <c:order val="20"/>
          <c:tx>
            <c:strRef>
              <c:f>'Store Performance'!$A$22</c:f>
              <c:strCache>
                <c:ptCount val="1"/>
                <c:pt idx="0">
                  <c:v>ST21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Performance'!$D$22</c:f>
              <c:numCache>
                <c:formatCode>General</c:formatCode>
                <c:ptCount val="1"/>
                <c:pt idx="0">
                  <c:v>512287190.06</c:v>
                </c:pt>
              </c:numCache>
            </c:numRef>
          </c:val>
        </c:ser>
        <c:ser>
          <c:idx val="21"/>
          <c:order val="21"/>
          <c:tx>
            <c:strRef>
              <c:f>'Store Performance'!$A$23</c:f>
              <c:strCache>
                <c:ptCount val="1"/>
                <c:pt idx="0">
                  <c:v>ST22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Performance'!$D$23</c:f>
              <c:numCache>
                <c:formatCode>General</c:formatCode>
                <c:ptCount val="1"/>
                <c:pt idx="0">
                  <c:v>514302234.85000002</c:v>
                </c:pt>
              </c:numCache>
            </c:numRef>
          </c:val>
        </c:ser>
        <c:ser>
          <c:idx val="22"/>
          <c:order val="22"/>
          <c:tx>
            <c:strRef>
              <c:f>'Store Performance'!$A$24</c:f>
              <c:strCache>
                <c:ptCount val="1"/>
                <c:pt idx="0">
                  <c:v>ST23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Performance'!$D$24</c:f>
              <c:numCache>
                <c:formatCode>General</c:formatCode>
                <c:ptCount val="1"/>
                <c:pt idx="0">
                  <c:v>256656894.72</c:v>
                </c:pt>
              </c:numCache>
            </c:numRef>
          </c:val>
        </c:ser>
        <c:ser>
          <c:idx val="23"/>
          <c:order val="23"/>
          <c:tx>
            <c:strRef>
              <c:f>'Store Performance'!$A$25</c:f>
              <c:strCache>
                <c:ptCount val="1"/>
                <c:pt idx="0">
                  <c:v>ST24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Performance'!$D$25</c:f>
              <c:numCache>
                <c:formatCode>General</c:formatCode>
                <c:ptCount val="1"/>
                <c:pt idx="0">
                  <c:v>257288982.66999999</c:v>
                </c:pt>
              </c:numCache>
            </c:numRef>
          </c:val>
        </c:ser>
        <c:ser>
          <c:idx val="24"/>
          <c:order val="24"/>
          <c:tx>
            <c:strRef>
              <c:f>'Store Performance'!$A$26</c:f>
              <c:strCache>
                <c:ptCount val="1"/>
                <c:pt idx="0">
                  <c:v>ST25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Performance'!$D$26</c:f>
              <c:numCache>
                <c:formatCode>General</c:formatCode>
                <c:ptCount val="1"/>
                <c:pt idx="0">
                  <c:v>256808673.16</c:v>
                </c:pt>
              </c:numCache>
            </c:numRef>
          </c:val>
        </c:ser>
        <c:ser>
          <c:idx val="25"/>
          <c:order val="25"/>
          <c:tx>
            <c:strRef>
              <c:f>'Store Performance'!$A$27</c:f>
              <c:strCache>
                <c:ptCount val="1"/>
                <c:pt idx="0">
                  <c:v>ST26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Performance'!$D$27</c:f>
              <c:numCache>
                <c:formatCode>General</c:formatCode>
                <c:ptCount val="1"/>
                <c:pt idx="0">
                  <c:v>259694108.56999999</c:v>
                </c:pt>
              </c:numCache>
            </c:numRef>
          </c:val>
        </c:ser>
        <c:ser>
          <c:idx val="26"/>
          <c:order val="26"/>
          <c:tx>
            <c:strRef>
              <c:f>'Store Performance'!$A$28</c:f>
              <c:strCache>
                <c:ptCount val="1"/>
                <c:pt idx="0">
                  <c:v>ST27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Performance'!$D$28</c:f>
              <c:numCache>
                <c:formatCode>General</c:formatCode>
                <c:ptCount val="1"/>
                <c:pt idx="0">
                  <c:v>386583133.19</c:v>
                </c:pt>
              </c:numCache>
            </c:numRef>
          </c:val>
        </c:ser>
        <c:ser>
          <c:idx val="27"/>
          <c:order val="27"/>
          <c:tx>
            <c:strRef>
              <c:f>'Store Performance'!$A$29</c:f>
              <c:strCache>
                <c:ptCount val="1"/>
                <c:pt idx="0">
                  <c:v>ST28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Performance'!$D$29</c:f>
              <c:numCache>
                <c:formatCode>General</c:formatCode>
                <c:ptCount val="1"/>
                <c:pt idx="0">
                  <c:v>386868998.49000001</c:v>
                </c:pt>
              </c:numCache>
            </c:numRef>
          </c:val>
        </c:ser>
        <c:ser>
          <c:idx val="28"/>
          <c:order val="28"/>
          <c:tx>
            <c:strRef>
              <c:f>'Store Performance'!$A$30</c:f>
              <c:strCache>
                <c:ptCount val="1"/>
                <c:pt idx="0">
                  <c:v>ST29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Performance'!$D$30</c:f>
              <c:numCache>
                <c:formatCode>General</c:formatCode>
                <c:ptCount val="1"/>
                <c:pt idx="0">
                  <c:v>516023788.31999999</c:v>
                </c:pt>
              </c:numCache>
            </c:numRef>
          </c:val>
        </c:ser>
        <c:ser>
          <c:idx val="29"/>
          <c:order val="29"/>
          <c:tx>
            <c:strRef>
              <c:f>'Store Performance'!$A$31</c:f>
              <c:strCache>
                <c:ptCount val="1"/>
                <c:pt idx="0">
                  <c:v>ST30</c:v>
                </c:pt>
              </c:strCache>
            </c:strRef>
          </c:tx>
          <c:cat>
            <c:strRef>
              <c:f>'Store Performance'!$D$1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'Store Performance'!$D$31</c:f>
              <c:numCache>
                <c:formatCode>General</c:formatCode>
                <c:ptCount val="1"/>
                <c:pt idx="0">
                  <c:v>512165351.76999998</c:v>
                </c:pt>
              </c:numCache>
            </c:numRef>
          </c:val>
        </c:ser>
        <c:axId val="72893952"/>
        <c:axId val="72895488"/>
      </c:barChart>
      <c:catAx>
        <c:axId val="72893952"/>
        <c:scaling>
          <c:orientation val="minMax"/>
        </c:scaling>
        <c:axPos val="b"/>
        <c:tickLblPos val="nextTo"/>
        <c:crossAx val="72895488"/>
        <c:crosses val="autoZero"/>
        <c:auto val="1"/>
        <c:lblAlgn val="ctr"/>
        <c:lblOffset val="100"/>
      </c:catAx>
      <c:valAx>
        <c:axId val="72895488"/>
        <c:scaling>
          <c:orientation val="minMax"/>
        </c:scaling>
        <c:axPos val="l"/>
        <c:majorGridlines/>
        <c:numFmt formatCode="General" sourceLinked="1"/>
        <c:tickLblPos val="nextTo"/>
        <c:crossAx val="7289395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Store</a:t>
            </a:r>
            <a:r>
              <a:rPr lang="en-US" baseline="0"/>
              <a:t> Type 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'Store Type'!$B$1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'Store Type'!$A$2:$A$5</c:f>
              <c:strCache>
                <c:ptCount val="4"/>
                <c:pt idx="0">
                  <c:v>Convenience Store</c:v>
                </c:pt>
                <c:pt idx="1">
                  <c:v>Express Store</c:v>
                </c:pt>
                <c:pt idx="2">
                  <c:v>Hypermarket</c:v>
                </c:pt>
                <c:pt idx="3">
                  <c:v>Supermarket</c:v>
                </c:pt>
              </c:strCache>
            </c:strRef>
          </c:cat>
          <c:val>
            <c:numRef>
              <c:f>'Store Type'!$B$2:$B$5</c:f>
              <c:numCache>
                <c:formatCode>General</c:formatCode>
                <c:ptCount val="4"/>
                <c:pt idx="0">
                  <c:v>2835501126.4299998</c:v>
                </c:pt>
                <c:pt idx="1">
                  <c:v>177803473.22999999</c:v>
                </c:pt>
                <c:pt idx="2">
                  <c:v>3601947274.1300001</c:v>
                </c:pt>
                <c:pt idx="3">
                  <c:v>4255555473.9099998</c:v>
                </c:pt>
              </c:numCache>
            </c:numRef>
          </c:val>
        </c:ser>
        <c:axId val="72919680"/>
        <c:axId val="72950144"/>
      </c:barChart>
      <c:catAx>
        <c:axId val="72919680"/>
        <c:scaling>
          <c:orientation val="minMax"/>
        </c:scaling>
        <c:axPos val="b"/>
        <c:tickLblPos val="nextTo"/>
        <c:crossAx val="72950144"/>
        <c:crosses val="autoZero"/>
        <c:auto val="1"/>
        <c:lblAlgn val="ctr"/>
        <c:lblOffset val="100"/>
      </c:catAx>
      <c:valAx>
        <c:axId val="72950144"/>
        <c:scaling>
          <c:orientation val="minMax"/>
        </c:scaling>
        <c:axPos val="l"/>
        <c:majorGridlines/>
        <c:numFmt formatCode="General" sourceLinked="1"/>
        <c:tickLblPos val="nextTo"/>
        <c:crossAx val="729196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</a:t>
            </a:r>
            <a:r>
              <a:rPr lang="en-US" baseline="0"/>
              <a:t> 10 priority SKUs</a:t>
            </a:r>
          </a:p>
        </c:rich>
      </c:tx>
      <c:layout>
        <c:manualLayout>
          <c:xMode val="edge"/>
          <c:yMode val="edge"/>
          <c:x val="0.27222222222222231"/>
          <c:y val="3.2407407407407426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'Priority SKUs'!$D$1</c:f>
              <c:strCache>
                <c:ptCount val="1"/>
                <c:pt idx="0">
                  <c:v>replenishment_value</c:v>
                </c:pt>
              </c:strCache>
            </c:strRef>
          </c:tx>
          <c:cat>
            <c:strRef>
              <c:f>'Priority SKUs'!$A$2:$A$11</c:f>
              <c:strCache>
                <c:ptCount val="10"/>
                <c:pt idx="0">
                  <c:v>SKU04157</c:v>
                </c:pt>
                <c:pt idx="1">
                  <c:v>SKU02833</c:v>
                </c:pt>
                <c:pt idx="2">
                  <c:v>SKU00728</c:v>
                </c:pt>
                <c:pt idx="3">
                  <c:v>SKU03053</c:v>
                </c:pt>
                <c:pt idx="4">
                  <c:v>SKU00531</c:v>
                </c:pt>
                <c:pt idx="5">
                  <c:v>SKU02046</c:v>
                </c:pt>
                <c:pt idx="6">
                  <c:v>SKU04551</c:v>
                </c:pt>
                <c:pt idx="7">
                  <c:v>SKU03323</c:v>
                </c:pt>
                <c:pt idx="8">
                  <c:v>SKU04783</c:v>
                </c:pt>
                <c:pt idx="9">
                  <c:v>SKU04329</c:v>
                </c:pt>
              </c:strCache>
            </c:strRef>
          </c:cat>
          <c:val>
            <c:numRef>
              <c:f>'Priority SKUs'!$D$2:$D$11</c:f>
              <c:numCache>
                <c:formatCode>General</c:formatCode>
                <c:ptCount val="10"/>
                <c:pt idx="0">
                  <c:v>3813298</c:v>
                </c:pt>
                <c:pt idx="1">
                  <c:v>3403827.07</c:v>
                </c:pt>
                <c:pt idx="2">
                  <c:v>3109954.21</c:v>
                </c:pt>
                <c:pt idx="3">
                  <c:v>3067223.4</c:v>
                </c:pt>
                <c:pt idx="4">
                  <c:v>2674004.16</c:v>
                </c:pt>
                <c:pt idx="5">
                  <c:v>2311409.7599999998</c:v>
                </c:pt>
                <c:pt idx="6">
                  <c:v>2237589.2000000002</c:v>
                </c:pt>
                <c:pt idx="7">
                  <c:v>2188734.36</c:v>
                </c:pt>
                <c:pt idx="8">
                  <c:v>2152388.9700000002</c:v>
                </c:pt>
                <c:pt idx="9">
                  <c:v>2084591.4</c:v>
                </c:pt>
              </c:numCache>
            </c:numRef>
          </c:val>
        </c:ser>
        <c:axId val="83573760"/>
        <c:axId val="83571072"/>
      </c:barChart>
      <c:catAx>
        <c:axId val="83573760"/>
        <c:scaling>
          <c:orientation val="minMax"/>
        </c:scaling>
        <c:axPos val="b"/>
        <c:tickLblPos val="nextTo"/>
        <c:crossAx val="83571072"/>
        <c:crosses val="autoZero"/>
        <c:auto val="1"/>
        <c:lblAlgn val="ctr"/>
        <c:lblOffset val="100"/>
      </c:catAx>
      <c:valAx>
        <c:axId val="83571072"/>
        <c:scaling>
          <c:orientation val="minMax"/>
        </c:scaling>
        <c:axPos val="l"/>
        <c:majorGridlines/>
        <c:numFmt formatCode="General" sourceLinked="1"/>
        <c:tickLblPos val="nextTo"/>
        <c:crossAx val="835737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1</xdr:row>
      <xdr:rowOff>123825</xdr:rowOff>
    </xdr:from>
    <xdr:to>
      <xdr:col>18</xdr:col>
      <xdr:colOff>247650</xdr:colOff>
      <xdr:row>16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430626</xdr:colOff>
      <xdr:row>0</xdr:row>
      <xdr:rowOff>180896</xdr:rowOff>
    </xdr:from>
    <xdr:to>
      <xdr:col>24</xdr:col>
      <xdr:colOff>267339</xdr:colOff>
      <xdr:row>31</xdr:row>
      <xdr:rowOff>153681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5</xdr:row>
      <xdr:rowOff>114300</xdr:rowOff>
    </xdr:from>
    <xdr:to>
      <xdr:col>14</xdr:col>
      <xdr:colOff>361950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4</xdr:row>
      <xdr:rowOff>104775</xdr:rowOff>
    </xdr:from>
    <xdr:to>
      <xdr:col>14</xdr:col>
      <xdr:colOff>514350</xdr:colOff>
      <xdr:row>18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361950</xdr:colOff>
      <xdr:row>3</xdr:row>
      <xdr:rowOff>76200</xdr:rowOff>
    </xdr:from>
    <xdr:to>
      <xdr:col>12</xdr:col>
      <xdr:colOff>57150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1186295</xdr:colOff>
      <xdr:row>7</xdr:row>
      <xdr:rowOff>122465</xdr:rowOff>
    </xdr:from>
    <xdr:to>
      <xdr:col>10</xdr:col>
      <xdr:colOff>162544</xdr:colOff>
      <xdr:row>22</xdr:row>
      <xdr:rowOff>8165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1246910</xdr:colOff>
      <xdr:row>23</xdr:row>
      <xdr:rowOff>72985</xdr:rowOff>
    </xdr:from>
    <xdr:to>
      <xdr:col>9</xdr:col>
      <xdr:colOff>238744</xdr:colOff>
      <xdr:row>37</xdr:row>
      <xdr:rowOff>149185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536864</xdr:colOff>
      <xdr:row>7</xdr:row>
      <xdr:rowOff>121227</xdr:rowOff>
    </xdr:from>
    <xdr:to>
      <xdr:col>27</xdr:col>
      <xdr:colOff>300841</xdr:colOff>
      <xdr:row>38</xdr:row>
      <xdr:rowOff>94012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139783</xdr:colOff>
      <xdr:row>23</xdr:row>
      <xdr:rowOff>-1</xdr:rowOff>
    </xdr:from>
    <xdr:to>
      <xdr:col>4</xdr:col>
      <xdr:colOff>711283</xdr:colOff>
      <xdr:row>37</xdr:row>
      <xdr:rowOff>76199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86591</xdr:colOff>
      <xdr:row>7</xdr:row>
      <xdr:rowOff>69273</xdr:rowOff>
    </xdr:from>
    <xdr:to>
      <xdr:col>4</xdr:col>
      <xdr:colOff>649432</xdr:colOff>
      <xdr:row>21</xdr:row>
      <xdr:rowOff>145473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workbookViewId="0">
      <selection activeCell="D1" sqref="D1"/>
    </sheetView>
  </sheetViews>
  <sheetFormatPr defaultRowHeight="15"/>
  <cols>
    <col min="1" max="1" width="35.85546875" customWidth="1"/>
    <col min="2" max="2" width="16.42578125" customWidth="1"/>
  </cols>
  <sheetData>
    <row r="1" spans="1:2">
      <c r="A1" s="1" t="s">
        <v>0</v>
      </c>
      <c r="B1" s="1" t="s">
        <v>1</v>
      </c>
    </row>
    <row r="2" spans="1:2">
      <c r="A2" s="2">
        <v>44562</v>
      </c>
      <c r="B2">
        <v>181778524.13</v>
      </c>
    </row>
    <row r="3" spans="1:2">
      <c r="A3" s="2">
        <v>44593</v>
      </c>
      <c r="B3">
        <v>170794580.74000001</v>
      </c>
    </row>
    <row r="4" spans="1:2">
      <c r="A4" s="2">
        <v>44621</v>
      </c>
      <c r="B4">
        <v>203994767.94999999</v>
      </c>
    </row>
    <row r="5" spans="1:2">
      <c r="A5" s="2">
        <v>44652</v>
      </c>
      <c r="B5">
        <v>204744872.13999999</v>
      </c>
    </row>
    <row r="6" spans="1:2">
      <c r="A6" s="2">
        <v>44682</v>
      </c>
      <c r="B6">
        <v>206050978.59</v>
      </c>
    </row>
    <row r="7" spans="1:2">
      <c r="A7" s="2">
        <v>44713</v>
      </c>
      <c r="B7">
        <v>162899086.61000001</v>
      </c>
    </row>
    <row r="8" spans="1:2">
      <c r="A8" s="2">
        <v>44743</v>
      </c>
      <c r="B8">
        <v>205022337.80000001</v>
      </c>
    </row>
    <row r="9" spans="1:2">
      <c r="A9" s="2">
        <v>44774</v>
      </c>
      <c r="B9">
        <v>225284182.94</v>
      </c>
    </row>
    <row r="10" spans="1:2">
      <c r="A10" s="2">
        <v>44805</v>
      </c>
      <c r="B10">
        <v>223015608.62</v>
      </c>
    </row>
    <row r="11" spans="1:2">
      <c r="A11" s="2">
        <v>44835</v>
      </c>
      <c r="B11">
        <v>230424340.12</v>
      </c>
    </row>
    <row r="12" spans="1:2">
      <c r="A12" s="2">
        <v>44866</v>
      </c>
      <c r="B12">
        <v>268306967.87</v>
      </c>
    </row>
    <row r="13" spans="1:2">
      <c r="A13" s="2">
        <v>44896</v>
      </c>
      <c r="B13">
        <v>297194283.11000001</v>
      </c>
    </row>
    <row r="14" spans="1:2">
      <c r="A14" s="2">
        <v>44927</v>
      </c>
      <c r="B14">
        <v>195651418.63999999</v>
      </c>
    </row>
    <row r="15" spans="1:2">
      <c r="A15" s="2">
        <v>44958</v>
      </c>
      <c r="B15">
        <v>183860329.75999999</v>
      </c>
    </row>
    <row r="16" spans="1:2">
      <c r="A16" s="2">
        <v>44986</v>
      </c>
      <c r="B16">
        <v>198235268.69</v>
      </c>
    </row>
    <row r="17" spans="1:2">
      <c r="A17" s="2">
        <v>45017</v>
      </c>
      <c r="B17">
        <v>199079071.25</v>
      </c>
    </row>
    <row r="18" spans="1:2">
      <c r="A18" s="2">
        <v>45047</v>
      </c>
      <c r="B18">
        <v>232016769.11000001</v>
      </c>
    </row>
    <row r="19" spans="1:2">
      <c r="A19" s="2">
        <v>45078</v>
      </c>
      <c r="B19">
        <v>197545594.56999999</v>
      </c>
    </row>
    <row r="20" spans="1:2">
      <c r="A20" s="2">
        <v>45108</v>
      </c>
      <c r="B20">
        <v>185328010.87</v>
      </c>
    </row>
    <row r="21" spans="1:2">
      <c r="A21" s="2">
        <v>45139</v>
      </c>
      <c r="B21">
        <v>201394088.41999999</v>
      </c>
    </row>
    <row r="22" spans="1:2">
      <c r="A22" s="2">
        <v>45170</v>
      </c>
      <c r="B22">
        <v>226951068.31</v>
      </c>
    </row>
    <row r="23" spans="1:2">
      <c r="A23" s="2">
        <v>45200</v>
      </c>
      <c r="B23">
        <v>234666307.47999999</v>
      </c>
    </row>
    <row r="24" spans="1:2">
      <c r="A24" s="2">
        <v>45231</v>
      </c>
      <c r="B24">
        <v>280884592.24000001</v>
      </c>
    </row>
    <row r="25" spans="1:2">
      <c r="A25" s="2">
        <v>45261</v>
      </c>
      <c r="B25">
        <v>294131724.98000002</v>
      </c>
    </row>
    <row r="26" spans="1:2">
      <c r="A26" s="2">
        <v>45292</v>
      </c>
      <c r="B26">
        <v>171944503.78</v>
      </c>
    </row>
    <row r="27" spans="1:2">
      <c r="A27" s="2">
        <v>45323</v>
      </c>
      <c r="B27">
        <v>195479878.08000001</v>
      </c>
    </row>
    <row r="28" spans="1:2">
      <c r="A28" s="2">
        <v>45352</v>
      </c>
      <c r="B28">
        <v>145396367.75999999</v>
      </c>
    </row>
    <row r="29" spans="1:2">
      <c r="A29" s="2">
        <v>45383</v>
      </c>
      <c r="B29">
        <v>166627702.80000001</v>
      </c>
    </row>
    <row r="30" spans="1:2">
      <c r="A30" s="2">
        <v>45413</v>
      </c>
      <c r="B30">
        <v>215358129.41</v>
      </c>
    </row>
    <row r="31" spans="1:2">
      <c r="A31" s="2">
        <v>45444</v>
      </c>
      <c r="B31">
        <v>215750292.65000001</v>
      </c>
    </row>
    <row r="32" spans="1:2">
      <c r="A32" s="2">
        <v>45474</v>
      </c>
      <c r="B32">
        <v>197366571.34</v>
      </c>
    </row>
    <row r="33" spans="1:2">
      <c r="A33" s="2">
        <v>45505</v>
      </c>
      <c r="B33">
        <v>255120580.15000001</v>
      </c>
    </row>
    <row r="34" spans="1:2">
      <c r="A34" s="2">
        <v>45536</v>
      </c>
      <c r="B34">
        <v>237547811.81</v>
      </c>
    </row>
    <row r="35" spans="1:2">
      <c r="A35" s="2">
        <v>45566</v>
      </c>
      <c r="B35">
        <v>237331579.36000001</v>
      </c>
    </row>
    <row r="36" spans="1:2">
      <c r="A36" s="2">
        <v>45597</v>
      </c>
      <c r="B36">
        <v>303799856.30000001</v>
      </c>
    </row>
    <row r="37" spans="1:2">
      <c r="A37" s="2">
        <v>45627</v>
      </c>
      <c r="B37">
        <v>341048724.86000001</v>
      </c>
    </row>
    <row r="38" spans="1:2">
      <c r="A38" s="2">
        <v>45658</v>
      </c>
      <c r="B38">
        <v>211345280.19999999</v>
      </c>
    </row>
    <row r="39" spans="1:2">
      <c r="A39" s="2">
        <v>45689</v>
      </c>
      <c r="B39">
        <v>144952830.38</v>
      </c>
    </row>
    <row r="40" spans="1:2">
      <c r="A40" s="2">
        <v>45717</v>
      </c>
      <c r="B40">
        <v>238805530.38</v>
      </c>
    </row>
    <row r="41" spans="1:2">
      <c r="A41" s="2">
        <v>45748</v>
      </c>
      <c r="B41">
        <v>242947147.33000001</v>
      </c>
    </row>
    <row r="42" spans="1:2">
      <c r="A42" s="2">
        <v>45778</v>
      </c>
      <c r="B42">
        <v>255392530.88</v>
      </c>
    </row>
    <row r="43" spans="1:2">
      <c r="A43" s="2">
        <v>45809</v>
      </c>
      <c r="B43">
        <v>255611177.81999999</v>
      </c>
    </row>
    <row r="44" spans="1:2">
      <c r="A44" s="2">
        <v>45839</v>
      </c>
      <c r="B44">
        <v>239370656.33000001</v>
      </c>
    </row>
    <row r="45" spans="1:2">
      <c r="A45" s="2">
        <v>45870</v>
      </c>
      <c r="B45">
        <v>243916497.72999999</v>
      </c>
    </row>
    <row r="46" spans="1:2">
      <c r="A46" s="2">
        <v>45901</v>
      </c>
      <c r="B46">
        <v>269178332.58999997</v>
      </c>
    </row>
    <row r="47" spans="1:2">
      <c r="A47" s="2">
        <v>45931</v>
      </c>
      <c r="B47">
        <v>262519338.86000001</v>
      </c>
    </row>
    <row r="48" spans="1:2">
      <c r="A48" s="2">
        <v>45962</v>
      </c>
      <c r="B48">
        <v>273494201.63999999</v>
      </c>
    </row>
    <row r="49" spans="1:2">
      <c r="A49" s="2">
        <v>45992</v>
      </c>
      <c r="B49">
        <v>341247050.31999999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A20" sqref="A20"/>
    </sheetView>
  </sheetViews>
  <sheetFormatPr defaultRowHeight="15"/>
  <cols>
    <col min="6" max="6" width="19.140625" customWidth="1"/>
    <col min="8" max="8" width="18" bestFit="1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8">
      <c r="A2">
        <v>2022</v>
      </c>
      <c r="B2">
        <v>2579510530.6199999</v>
      </c>
      <c r="C2">
        <v>1187817</v>
      </c>
      <c r="D2">
        <v>4307056</v>
      </c>
      <c r="E2">
        <v>2171.639680708392</v>
      </c>
      <c r="H2" t="s">
        <v>345</v>
      </c>
    </row>
    <row r="3" spans="1:8">
      <c r="A3">
        <v>2023</v>
      </c>
      <c r="B3">
        <v>2629744244.3200002</v>
      </c>
      <c r="C3">
        <v>1261308</v>
      </c>
      <c r="D3">
        <v>4569587</v>
      </c>
      <c r="E3">
        <v>2084.9342462903592</v>
      </c>
      <c r="F3">
        <v>1.947412623585087</v>
      </c>
      <c r="H3" s="3">
        <f>SUM(B2:B5)</f>
        <v>10870807347.700001</v>
      </c>
    </row>
    <row r="4" spans="1:8">
      <c r="A4">
        <v>2024</v>
      </c>
      <c r="B4">
        <v>2682771998.3000002</v>
      </c>
      <c r="C4">
        <v>1330730</v>
      </c>
      <c r="D4">
        <v>4826035</v>
      </c>
      <c r="E4">
        <v>2016.015268536818</v>
      </c>
      <c r="F4">
        <v>2.01646050160713</v>
      </c>
      <c r="H4" t="s">
        <v>346</v>
      </c>
    </row>
    <row r="5" spans="1:8">
      <c r="A5">
        <v>2025</v>
      </c>
      <c r="B5">
        <v>2978780574.46</v>
      </c>
      <c r="C5">
        <v>1388009</v>
      </c>
      <c r="D5">
        <v>4980572</v>
      </c>
      <c r="E5">
        <v>2146.0815992259422</v>
      </c>
      <c r="F5">
        <v>11.0336836804459</v>
      </c>
      <c r="H5" t="s">
        <v>347</v>
      </c>
    </row>
    <row r="6" spans="1:8">
      <c r="H6" s="3">
        <f>SUM(C2:C5)</f>
        <v>5167864</v>
      </c>
    </row>
    <row r="8" spans="1:8">
      <c r="H8" t="s">
        <v>348</v>
      </c>
    </row>
    <row r="9" spans="1:8">
      <c r="H9" s="3">
        <f>SUM(D2:D5)</f>
        <v>18683250</v>
      </c>
    </row>
    <row r="11" spans="1:8">
      <c r="H11" t="s">
        <v>349</v>
      </c>
    </row>
    <row r="12" spans="1:8">
      <c r="H12" s="4">
        <f>H3/H6</f>
        <v>2103.5397502140149</v>
      </c>
    </row>
    <row r="14" spans="1:8">
      <c r="H14" t="s">
        <v>350</v>
      </c>
    </row>
    <row r="15" spans="1:8">
      <c r="H15" s="5"/>
    </row>
    <row r="20" spans="1:1">
      <c r="A20" t="s">
        <v>356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zoomScale="85" zoomScaleNormal="85" workbookViewId="0">
      <selection sqref="A1:D31"/>
    </sheetView>
  </sheetViews>
  <sheetFormatPr defaultRowHeight="15"/>
  <sheetData>
    <row r="1" spans="1:7">
      <c r="A1" s="11" t="s">
        <v>7</v>
      </c>
      <c r="B1" s="1" t="s">
        <v>8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t="s">
        <v>10</v>
      </c>
      <c r="B2" t="s">
        <v>11</v>
      </c>
      <c r="C2" t="s">
        <v>12</v>
      </c>
      <c r="D2">
        <v>257856338.41999999</v>
      </c>
      <c r="E2">
        <v>122996</v>
      </c>
      <c r="F2">
        <v>443317</v>
      </c>
      <c r="G2">
        <v>2096.4611728836712</v>
      </c>
    </row>
    <row r="3" spans="1:7">
      <c r="A3" t="s">
        <v>13</v>
      </c>
      <c r="B3" t="s">
        <v>14</v>
      </c>
      <c r="C3" t="s">
        <v>15</v>
      </c>
      <c r="D3">
        <v>177803473.22999999</v>
      </c>
      <c r="E3">
        <v>83957</v>
      </c>
      <c r="F3">
        <v>304054</v>
      </c>
      <c r="G3">
        <v>2117.7921225150972</v>
      </c>
    </row>
    <row r="4" spans="1:7">
      <c r="A4" t="s">
        <v>16</v>
      </c>
      <c r="B4" t="s">
        <v>17</v>
      </c>
      <c r="C4" t="s">
        <v>18</v>
      </c>
      <c r="D4">
        <v>385174100.12</v>
      </c>
      <c r="E4">
        <v>183205</v>
      </c>
      <c r="F4">
        <v>662395</v>
      </c>
      <c r="G4">
        <v>2102.421331950547</v>
      </c>
    </row>
    <row r="5" spans="1:7">
      <c r="A5" t="s">
        <v>19</v>
      </c>
      <c r="B5" t="s">
        <v>20</v>
      </c>
      <c r="C5" t="s">
        <v>18</v>
      </c>
      <c r="D5">
        <v>387342533.67000002</v>
      </c>
      <c r="E5">
        <v>183712</v>
      </c>
      <c r="F5">
        <v>663770</v>
      </c>
      <c r="G5">
        <v>2108.422605327904</v>
      </c>
    </row>
    <row r="6" spans="1:7">
      <c r="A6" t="s">
        <v>21</v>
      </c>
      <c r="B6" t="s">
        <v>22</v>
      </c>
      <c r="C6" t="s">
        <v>18</v>
      </c>
      <c r="D6">
        <v>388740299.79000002</v>
      </c>
      <c r="E6">
        <v>183989</v>
      </c>
      <c r="F6">
        <v>665465</v>
      </c>
      <c r="G6">
        <v>2112.8453320035442</v>
      </c>
    </row>
    <row r="7" spans="1:7">
      <c r="A7" t="s">
        <v>23</v>
      </c>
      <c r="B7" t="s">
        <v>24</v>
      </c>
      <c r="C7" t="s">
        <v>25</v>
      </c>
      <c r="D7">
        <v>516620586.24000001</v>
      </c>
      <c r="E7">
        <v>244988</v>
      </c>
      <c r="F7">
        <v>887625</v>
      </c>
      <c r="G7">
        <v>2108.758740183192</v>
      </c>
    </row>
    <row r="8" spans="1:7">
      <c r="A8" t="s">
        <v>26</v>
      </c>
      <c r="B8" t="s">
        <v>27</v>
      </c>
      <c r="C8" t="s">
        <v>25</v>
      </c>
      <c r="D8">
        <v>516509614.97000003</v>
      </c>
      <c r="E8">
        <v>245137</v>
      </c>
      <c r="F8">
        <v>885912</v>
      </c>
      <c r="G8">
        <v>2107.0242964954291</v>
      </c>
    </row>
    <row r="9" spans="1:7">
      <c r="A9" t="s">
        <v>28</v>
      </c>
      <c r="B9" t="s">
        <v>11</v>
      </c>
      <c r="C9" t="s">
        <v>18</v>
      </c>
      <c r="D9">
        <v>385917277.51999998</v>
      </c>
      <c r="E9">
        <v>183825</v>
      </c>
      <c r="F9">
        <v>664449</v>
      </c>
      <c r="G9">
        <v>2099.3731947232418</v>
      </c>
    </row>
    <row r="10" spans="1:7">
      <c r="A10" t="s">
        <v>29</v>
      </c>
      <c r="B10" t="s">
        <v>22</v>
      </c>
      <c r="C10" t="s">
        <v>18</v>
      </c>
      <c r="D10">
        <v>387147834.44999999</v>
      </c>
      <c r="E10">
        <v>183614</v>
      </c>
      <c r="F10">
        <v>663974</v>
      </c>
      <c r="G10">
        <v>2108.487557865958</v>
      </c>
    </row>
    <row r="11" spans="1:7">
      <c r="A11" t="s">
        <v>30</v>
      </c>
      <c r="B11" t="s">
        <v>31</v>
      </c>
      <c r="C11" t="s">
        <v>12</v>
      </c>
      <c r="D11">
        <v>257704556.77000001</v>
      </c>
      <c r="E11">
        <v>122606</v>
      </c>
      <c r="F11">
        <v>443052</v>
      </c>
      <c r="G11">
        <v>2101.8918875911459</v>
      </c>
    </row>
    <row r="12" spans="1:7">
      <c r="A12" t="s">
        <v>32</v>
      </c>
      <c r="B12" t="s">
        <v>14</v>
      </c>
      <c r="C12" t="s">
        <v>18</v>
      </c>
      <c r="D12">
        <v>386559779.56999999</v>
      </c>
      <c r="E12">
        <v>183805</v>
      </c>
      <c r="F12">
        <v>664204</v>
      </c>
      <c r="G12">
        <v>2103.0971930578598</v>
      </c>
    </row>
    <row r="13" spans="1:7">
      <c r="A13" t="s">
        <v>33</v>
      </c>
      <c r="B13" t="s">
        <v>34</v>
      </c>
      <c r="C13" t="s">
        <v>12</v>
      </c>
      <c r="D13">
        <v>256281901.21000001</v>
      </c>
      <c r="E13">
        <v>122205</v>
      </c>
      <c r="F13">
        <v>440789</v>
      </c>
      <c r="G13">
        <v>2097.1474261282269</v>
      </c>
    </row>
    <row r="14" spans="1:7">
      <c r="A14" t="s">
        <v>35</v>
      </c>
      <c r="B14" t="s">
        <v>20</v>
      </c>
      <c r="C14" t="s">
        <v>12</v>
      </c>
      <c r="D14">
        <v>259612327.50999999</v>
      </c>
      <c r="E14">
        <v>122585</v>
      </c>
      <c r="F14">
        <v>444400</v>
      </c>
      <c r="G14">
        <v>2117.814802055716</v>
      </c>
    </row>
    <row r="15" spans="1:7">
      <c r="A15" t="s">
        <v>36</v>
      </c>
      <c r="B15" t="s">
        <v>17</v>
      </c>
      <c r="C15" t="s">
        <v>18</v>
      </c>
      <c r="D15">
        <v>385628275.72000003</v>
      </c>
      <c r="E15">
        <v>183887</v>
      </c>
      <c r="F15">
        <v>666189</v>
      </c>
      <c r="G15">
        <v>2097.0937353918439</v>
      </c>
    </row>
    <row r="16" spans="1:7">
      <c r="A16" t="s">
        <v>37</v>
      </c>
      <c r="B16" t="s">
        <v>14</v>
      </c>
      <c r="C16" t="s">
        <v>12</v>
      </c>
      <c r="D16">
        <v>257438115.28999999</v>
      </c>
      <c r="E16">
        <v>122049</v>
      </c>
      <c r="F16">
        <v>442257</v>
      </c>
      <c r="G16">
        <v>2109.3013075895751</v>
      </c>
    </row>
    <row r="17" spans="1:7">
      <c r="A17" t="s">
        <v>38</v>
      </c>
      <c r="B17" t="s">
        <v>39</v>
      </c>
      <c r="C17" t="s">
        <v>12</v>
      </c>
      <c r="D17">
        <v>257595395.91</v>
      </c>
      <c r="E17">
        <v>122714</v>
      </c>
      <c r="F17">
        <v>443525</v>
      </c>
      <c r="G17">
        <v>2099.1524676076078</v>
      </c>
    </row>
    <row r="18" spans="1:7">
      <c r="A18" t="s">
        <v>40</v>
      </c>
      <c r="B18" t="s">
        <v>41</v>
      </c>
      <c r="C18" t="s">
        <v>18</v>
      </c>
      <c r="D18">
        <v>387202889.87</v>
      </c>
      <c r="E18">
        <v>184196</v>
      </c>
      <c r="F18">
        <v>666521</v>
      </c>
      <c r="G18">
        <v>2102.1243125257879</v>
      </c>
    </row>
    <row r="19" spans="1:7">
      <c r="A19" t="s">
        <v>42</v>
      </c>
      <c r="B19" t="s">
        <v>22</v>
      </c>
      <c r="C19" t="s">
        <v>18</v>
      </c>
      <c r="D19">
        <v>388390351.51999998</v>
      </c>
      <c r="E19">
        <v>184208</v>
      </c>
      <c r="F19">
        <v>667293</v>
      </c>
      <c r="G19">
        <v>2108.4336810561972</v>
      </c>
    </row>
    <row r="20" spans="1:7">
      <c r="A20" t="s">
        <v>43</v>
      </c>
      <c r="B20" t="s">
        <v>17</v>
      </c>
      <c r="C20" t="s">
        <v>12</v>
      </c>
      <c r="D20">
        <v>258563832.19999999</v>
      </c>
      <c r="E20">
        <v>122361</v>
      </c>
      <c r="F20">
        <v>442238</v>
      </c>
      <c r="G20">
        <v>2113.1229084430502</v>
      </c>
    </row>
    <row r="21" spans="1:7">
      <c r="A21" t="s">
        <v>44</v>
      </c>
      <c r="B21" t="s">
        <v>20</v>
      </c>
      <c r="C21" t="s">
        <v>25</v>
      </c>
      <c r="D21">
        <v>514038507.92000002</v>
      </c>
      <c r="E21">
        <v>245623</v>
      </c>
      <c r="F21">
        <v>886423</v>
      </c>
      <c r="G21">
        <v>2092.794680954145</v>
      </c>
    </row>
    <row r="22" spans="1:7">
      <c r="A22" t="s">
        <v>45</v>
      </c>
      <c r="B22" t="s">
        <v>27</v>
      </c>
      <c r="C22" t="s">
        <v>25</v>
      </c>
      <c r="D22">
        <v>512287190.06</v>
      </c>
      <c r="E22">
        <v>243977</v>
      </c>
      <c r="F22">
        <v>881286</v>
      </c>
      <c r="G22">
        <v>2099.735590076114</v>
      </c>
    </row>
    <row r="23" spans="1:7">
      <c r="A23" t="s">
        <v>46</v>
      </c>
      <c r="B23" t="s">
        <v>14</v>
      </c>
      <c r="C23" t="s">
        <v>25</v>
      </c>
      <c r="D23">
        <v>514302234.85000002</v>
      </c>
      <c r="E23">
        <v>244272</v>
      </c>
      <c r="F23">
        <v>882816</v>
      </c>
      <c r="G23">
        <v>2105.4489865805331</v>
      </c>
    </row>
    <row r="24" spans="1:7">
      <c r="A24" t="s">
        <v>47</v>
      </c>
      <c r="B24" t="s">
        <v>24</v>
      </c>
      <c r="C24" t="s">
        <v>12</v>
      </c>
      <c r="D24">
        <v>256656894.72</v>
      </c>
      <c r="E24">
        <v>122023</v>
      </c>
      <c r="F24">
        <v>440437</v>
      </c>
      <c r="G24">
        <v>2103.348505773502</v>
      </c>
    </row>
    <row r="25" spans="1:7">
      <c r="A25" t="s">
        <v>48</v>
      </c>
      <c r="B25" t="s">
        <v>49</v>
      </c>
      <c r="C25" t="s">
        <v>12</v>
      </c>
      <c r="D25">
        <v>257288982.66999999</v>
      </c>
      <c r="E25">
        <v>122909</v>
      </c>
      <c r="F25">
        <v>443870</v>
      </c>
      <c r="G25">
        <v>2093.329070043691</v>
      </c>
    </row>
    <row r="26" spans="1:7">
      <c r="A26" t="s">
        <v>50</v>
      </c>
      <c r="B26" t="s">
        <v>11</v>
      </c>
      <c r="C26" t="s">
        <v>12</v>
      </c>
      <c r="D26">
        <v>256808673.16</v>
      </c>
      <c r="E26">
        <v>122203</v>
      </c>
      <c r="F26">
        <v>440735</v>
      </c>
      <c r="G26">
        <v>2101.4923787468392</v>
      </c>
    </row>
    <row r="27" spans="1:7">
      <c r="A27" t="s">
        <v>51</v>
      </c>
      <c r="B27" t="s">
        <v>39</v>
      </c>
      <c r="C27" t="s">
        <v>12</v>
      </c>
      <c r="D27">
        <v>259694108.56999999</v>
      </c>
      <c r="E27">
        <v>123356</v>
      </c>
      <c r="F27">
        <v>445506</v>
      </c>
      <c r="G27">
        <v>2105.2409981679039</v>
      </c>
    </row>
    <row r="28" spans="1:7">
      <c r="A28" t="s">
        <v>52</v>
      </c>
      <c r="B28" t="s">
        <v>31</v>
      </c>
      <c r="C28" t="s">
        <v>18</v>
      </c>
      <c r="D28">
        <v>386583133.19</v>
      </c>
      <c r="E28">
        <v>183905</v>
      </c>
      <c r="F28">
        <v>664978</v>
      </c>
      <c r="G28">
        <v>2102.080602430603</v>
      </c>
    </row>
    <row r="29" spans="1:7">
      <c r="A29" t="s">
        <v>53</v>
      </c>
      <c r="B29" t="s">
        <v>22</v>
      </c>
      <c r="C29" t="s">
        <v>18</v>
      </c>
      <c r="D29">
        <v>386868998.49000001</v>
      </c>
      <c r="E29">
        <v>184060</v>
      </c>
      <c r="F29">
        <v>666819</v>
      </c>
      <c r="G29">
        <v>2101.863514560469</v>
      </c>
    </row>
    <row r="30" spans="1:7">
      <c r="A30" t="s">
        <v>54</v>
      </c>
      <c r="B30" t="s">
        <v>22</v>
      </c>
      <c r="C30" t="s">
        <v>25</v>
      </c>
      <c r="D30">
        <v>516023788.31999999</v>
      </c>
      <c r="E30">
        <v>245163</v>
      </c>
      <c r="F30">
        <v>887542</v>
      </c>
      <c r="G30">
        <v>2104.8191950661399</v>
      </c>
    </row>
    <row r="31" spans="1:7">
      <c r="A31" t="s">
        <v>55</v>
      </c>
      <c r="B31" t="s">
        <v>20</v>
      </c>
      <c r="C31" t="s">
        <v>25</v>
      </c>
      <c r="D31">
        <v>512165351.76999998</v>
      </c>
      <c r="E31">
        <v>244334</v>
      </c>
      <c r="F31">
        <v>881409</v>
      </c>
      <c r="G31">
        <v>2096.1689808622618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G1" sqref="G1:G1048576"/>
    </sheetView>
  </sheetViews>
  <sheetFormatPr defaultRowHeight="15"/>
  <cols>
    <col min="1" max="1" width="14.42578125" customWidth="1"/>
    <col min="2" max="2" width="15.7109375" customWidth="1"/>
    <col min="3" max="3" width="14.5703125" customWidth="1"/>
    <col min="4" max="4" width="19.140625" customWidth="1"/>
    <col min="5" max="5" width="15.7109375" customWidth="1"/>
    <col min="6" max="6" width="16.7109375" customWidth="1"/>
    <col min="7" max="7" width="22" customWidth="1"/>
  </cols>
  <sheetData>
    <row r="1" spans="1:7">
      <c r="A1" s="1" t="s">
        <v>9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5</v>
      </c>
      <c r="G1" s="1" t="s">
        <v>57</v>
      </c>
    </row>
    <row r="2" spans="1:7">
      <c r="A2" t="s">
        <v>12</v>
      </c>
      <c r="B2">
        <v>2835501126.4299998</v>
      </c>
      <c r="C2">
        <v>1348007</v>
      </c>
      <c r="D2">
        <v>4870126</v>
      </c>
      <c r="E2">
        <v>11</v>
      </c>
      <c r="F2">
        <v>2103.4765594169762</v>
      </c>
      <c r="G2">
        <v>257772829.6754545</v>
      </c>
    </row>
    <row r="3" spans="1:7">
      <c r="A3" t="s">
        <v>15</v>
      </c>
      <c r="B3">
        <v>177803473.22999999</v>
      </c>
      <c r="C3">
        <v>83957</v>
      </c>
      <c r="D3">
        <v>304054</v>
      </c>
      <c r="E3">
        <v>1</v>
      </c>
      <c r="F3">
        <v>2117.7921225150972</v>
      </c>
      <c r="G3">
        <v>177803473.22999999</v>
      </c>
    </row>
    <row r="4" spans="1:7">
      <c r="A4" t="s">
        <v>25</v>
      </c>
      <c r="B4">
        <v>3601947274.1300001</v>
      </c>
      <c r="C4">
        <v>1713494</v>
      </c>
      <c r="D4">
        <v>6193013</v>
      </c>
      <c r="E4">
        <v>7</v>
      </c>
      <c r="F4">
        <v>2102.1067328686299</v>
      </c>
      <c r="G4">
        <v>514563896.30428571</v>
      </c>
    </row>
    <row r="5" spans="1:7">
      <c r="A5" t="s">
        <v>18</v>
      </c>
      <c r="B5">
        <v>4255555473.9099998</v>
      </c>
      <c r="C5">
        <v>2022406</v>
      </c>
      <c r="D5">
        <v>7316057</v>
      </c>
      <c r="E5">
        <v>11</v>
      </c>
      <c r="F5">
        <v>2104.2043357812431</v>
      </c>
      <c r="G5">
        <v>386868679.44636363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selection activeCell="D1" sqref="D1"/>
    </sheetView>
  </sheetViews>
  <sheetFormatPr defaultRowHeight="15"/>
  <cols>
    <col min="1" max="1" width="18.85546875" customWidth="1"/>
    <col min="2" max="2" width="22.42578125" customWidth="1"/>
    <col min="3" max="3" width="21.7109375" customWidth="1"/>
  </cols>
  <sheetData>
    <row r="1" spans="1:4">
      <c r="A1" s="11" t="s">
        <v>58</v>
      </c>
      <c r="B1" s="1" t="s">
        <v>59</v>
      </c>
      <c r="C1" s="11" t="s">
        <v>60</v>
      </c>
      <c r="D1" s="11" t="s">
        <v>61</v>
      </c>
    </row>
    <row r="2" spans="1:4">
      <c r="A2" t="s">
        <v>62</v>
      </c>
      <c r="B2">
        <v>257</v>
      </c>
      <c r="C2">
        <v>19293539.91</v>
      </c>
      <c r="D2">
        <v>6.0627506487379099</v>
      </c>
    </row>
    <row r="3" spans="1:4">
      <c r="A3" t="s">
        <v>63</v>
      </c>
      <c r="B3">
        <v>251</v>
      </c>
      <c r="C3">
        <v>1505435.08</v>
      </c>
      <c r="D3">
        <v>5.9212078320358579</v>
      </c>
    </row>
    <row r="4" spans="1:4">
      <c r="A4" t="s">
        <v>64</v>
      </c>
      <c r="B4">
        <v>373</v>
      </c>
      <c r="C4">
        <v>3005253.32</v>
      </c>
      <c r="D4">
        <v>8.7992451049775884</v>
      </c>
    </row>
    <row r="5" spans="1:4">
      <c r="A5" t="s">
        <v>65</v>
      </c>
      <c r="B5">
        <v>349</v>
      </c>
      <c r="C5">
        <v>23925900.879999999</v>
      </c>
      <c r="D5">
        <v>8.2330738381693802</v>
      </c>
    </row>
    <row r="6" spans="1:4">
      <c r="A6" t="s">
        <v>66</v>
      </c>
      <c r="B6">
        <v>387</v>
      </c>
      <c r="C6">
        <v>8359596.3399999999</v>
      </c>
      <c r="D6">
        <v>9.1295116772823768</v>
      </c>
    </row>
    <row r="7" spans="1:4">
      <c r="A7" t="s">
        <v>67</v>
      </c>
      <c r="B7">
        <v>320</v>
      </c>
      <c r="C7">
        <v>2829755.27</v>
      </c>
      <c r="D7">
        <v>7.5489502241094604</v>
      </c>
    </row>
    <row r="8" spans="1:4">
      <c r="A8" t="s">
        <v>68</v>
      </c>
      <c r="B8">
        <v>319</v>
      </c>
      <c r="C8">
        <v>8618904.3300000001</v>
      </c>
      <c r="D8">
        <v>7.5253597546591182</v>
      </c>
    </row>
    <row r="9" spans="1:4">
      <c r="A9" t="s">
        <v>69</v>
      </c>
      <c r="B9">
        <v>360</v>
      </c>
      <c r="C9">
        <v>17774210.859999999</v>
      </c>
      <c r="D9">
        <v>8.4925690021231421</v>
      </c>
    </row>
    <row r="10" spans="1:4">
      <c r="A10" t="s">
        <v>70</v>
      </c>
      <c r="B10">
        <v>417</v>
      </c>
      <c r="C10">
        <v>4801373.1499999994</v>
      </c>
      <c r="D10">
        <v>9.8372257607926397</v>
      </c>
    </row>
    <row r="11" spans="1:4">
      <c r="A11" t="s">
        <v>71</v>
      </c>
      <c r="B11">
        <v>447</v>
      </c>
      <c r="C11">
        <v>6710199.7599999998</v>
      </c>
      <c r="D11">
        <v>10.544939844302901</v>
      </c>
    </row>
    <row r="12" spans="1:4">
      <c r="A12" t="s">
        <v>72</v>
      </c>
      <c r="B12">
        <v>267</v>
      </c>
      <c r="C12">
        <v>1144345.3</v>
      </c>
      <c r="D12">
        <v>6.2986553432413297</v>
      </c>
    </row>
    <row r="13" spans="1:4">
      <c r="A13" t="s">
        <v>73</v>
      </c>
      <c r="B13">
        <v>492</v>
      </c>
      <c r="C13">
        <v>3548994.71</v>
      </c>
      <c r="D13">
        <v>11.606510969568291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0"/>
  <sheetViews>
    <sheetView workbookViewId="0">
      <selection activeCell="J2" sqref="J2"/>
    </sheetView>
  </sheetViews>
  <sheetFormatPr defaultRowHeight="15"/>
  <cols>
    <col min="1" max="1" width="24.7109375" customWidth="1"/>
    <col min="2" max="2" width="19.5703125" customWidth="1"/>
    <col min="3" max="3" width="22.140625" customWidth="1"/>
    <col min="4" max="4" width="21.28515625" customWidth="1"/>
  </cols>
  <sheetData>
    <row r="1" spans="1:4">
      <c r="A1" s="1" t="s">
        <v>74</v>
      </c>
      <c r="B1" s="1" t="s">
        <v>75</v>
      </c>
      <c r="C1" s="1" t="s">
        <v>59</v>
      </c>
      <c r="D1" s="1" t="s">
        <v>60</v>
      </c>
    </row>
    <row r="2" spans="1:4">
      <c r="A2" t="s">
        <v>76</v>
      </c>
      <c r="B2">
        <v>24</v>
      </c>
      <c r="C2">
        <v>24</v>
      </c>
      <c r="D2">
        <v>3813298</v>
      </c>
    </row>
    <row r="3" spans="1:4">
      <c r="A3" t="s">
        <v>77</v>
      </c>
      <c r="B3">
        <v>24</v>
      </c>
      <c r="C3">
        <v>24</v>
      </c>
      <c r="D3">
        <v>3403827.07</v>
      </c>
    </row>
    <row r="4" spans="1:4">
      <c r="A4" t="s">
        <v>78</v>
      </c>
      <c r="B4">
        <v>22</v>
      </c>
      <c r="C4">
        <v>22</v>
      </c>
      <c r="D4">
        <v>3109954.21</v>
      </c>
    </row>
    <row r="5" spans="1:4">
      <c r="A5" t="s">
        <v>79</v>
      </c>
      <c r="B5">
        <v>19</v>
      </c>
      <c r="C5">
        <v>19</v>
      </c>
      <c r="D5">
        <v>3067223.4</v>
      </c>
    </row>
    <row r="6" spans="1:4">
      <c r="A6" t="s">
        <v>80</v>
      </c>
      <c r="B6">
        <v>22</v>
      </c>
      <c r="C6">
        <v>22</v>
      </c>
      <c r="D6">
        <v>2674004.16</v>
      </c>
    </row>
    <row r="7" spans="1:4">
      <c r="A7" t="s">
        <v>81</v>
      </c>
      <c r="B7">
        <v>24</v>
      </c>
      <c r="C7">
        <v>24</v>
      </c>
      <c r="D7">
        <v>2311409.7599999998</v>
      </c>
    </row>
    <row r="8" spans="1:4">
      <c r="A8" t="s">
        <v>82</v>
      </c>
      <c r="B8">
        <v>23</v>
      </c>
      <c r="C8">
        <v>23</v>
      </c>
      <c r="D8">
        <v>2237589.2000000002</v>
      </c>
    </row>
    <row r="9" spans="1:4">
      <c r="A9" t="s">
        <v>83</v>
      </c>
      <c r="B9">
        <v>19</v>
      </c>
      <c r="C9">
        <v>19</v>
      </c>
      <c r="D9">
        <v>2188734.36</v>
      </c>
    </row>
    <row r="10" spans="1:4">
      <c r="A10" t="s">
        <v>84</v>
      </c>
      <c r="B10">
        <v>24</v>
      </c>
      <c r="C10">
        <v>24</v>
      </c>
      <c r="D10">
        <v>2152388.9700000002</v>
      </c>
    </row>
    <row r="11" spans="1:4">
      <c r="A11" t="s">
        <v>85</v>
      </c>
      <c r="B11">
        <v>23</v>
      </c>
      <c r="C11">
        <v>23</v>
      </c>
      <c r="D11">
        <v>2084591.4</v>
      </c>
    </row>
    <row r="12" spans="1:4">
      <c r="A12" t="s">
        <v>86</v>
      </c>
      <c r="B12">
        <v>14</v>
      </c>
      <c r="C12">
        <v>14</v>
      </c>
      <c r="D12">
        <v>2000047.95</v>
      </c>
    </row>
    <row r="13" spans="1:4">
      <c r="A13" t="s">
        <v>87</v>
      </c>
      <c r="B13">
        <v>20</v>
      </c>
      <c r="C13">
        <v>20</v>
      </c>
      <c r="D13">
        <v>1869147.8</v>
      </c>
    </row>
    <row r="14" spans="1:4">
      <c r="A14" t="s">
        <v>88</v>
      </c>
      <c r="B14">
        <v>25</v>
      </c>
      <c r="C14">
        <v>25</v>
      </c>
      <c r="D14">
        <v>1564171.35</v>
      </c>
    </row>
    <row r="15" spans="1:4">
      <c r="A15" t="s">
        <v>89</v>
      </c>
      <c r="B15">
        <v>22</v>
      </c>
      <c r="C15">
        <v>22</v>
      </c>
      <c r="D15">
        <v>1530000.5</v>
      </c>
    </row>
    <row r="16" spans="1:4">
      <c r="A16" t="s">
        <v>90</v>
      </c>
      <c r="B16">
        <v>21</v>
      </c>
      <c r="C16">
        <v>21</v>
      </c>
      <c r="D16">
        <v>1529296.21</v>
      </c>
    </row>
    <row r="17" spans="1:4">
      <c r="A17" t="s">
        <v>91</v>
      </c>
      <c r="B17">
        <v>19</v>
      </c>
      <c r="C17">
        <v>19</v>
      </c>
      <c r="D17">
        <v>1475818.74</v>
      </c>
    </row>
    <row r="18" spans="1:4">
      <c r="A18" t="s">
        <v>92</v>
      </c>
      <c r="B18">
        <v>19</v>
      </c>
      <c r="C18">
        <v>19</v>
      </c>
      <c r="D18">
        <v>1372920.84</v>
      </c>
    </row>
    <row r="19" spans="1:4">
      <c r="A19" t="s">
        <v>93</v>
      </c>
      <c r="B19">
        <v>24</v>
      </c>
      <c r="C19">
        <v>24</v>
      </c>
      <c r="D19">
        <v>1248778.3</v>
      </c>
    </row>
    <row r="20" spans="1:4">
      <c r="A20" t="s">
        <v>94</v>
      </c>
      <c r="B20">
        <v>22</v>
      </c>
      <c r="C20">
        <v>22</v>
      </c>
      <c r="D20">
        <v>1207879.6799999999</v>
      </c>
    </row>
    <row r="21" spans="1:4">
      <c r="A21" t="s">
        <v>95</v>
      </c>
      <c r="B21">
        <v>20</v>
      </c>
      <c r="C21">
        <v>20</v>
      </c>
      <c r="D21">
        <v>1207845.17</v>
      </c>
    </row>
    <row r="22" spans="1:4">
      <c r="A22" t="s">
        <v>96</v>
      </c>
      <c r="B22">
        <v>22</v>
      </c>
      <c r="C22">
        <v>22</v>
      </c>
      <c r="D22">
        <v>1200345.1499999999</v>
      </c>
    </row>
    <row r="23" spans="1:4">
      <c r="A23" t="s">
        <v>97</v>
      </c>
      <c r="B23">
        <v>23</v>
      </c>
      <c r="C23">
        <v>23</v>
      </c>
      <c r="D23">
        <v>1163494.3999999999</v>
      </c>
    </row>
    <row r="24" spans="1:4">
      <c r="A24" t="s">
        <v>98</v>
      </c>
      <c r="B24">
        <v>22</v>
      </c>
      <c r="C24">
        <v>22</v>
      </c>
      <c r="D24">
        <v>1116446.3999999999</v>
      </c>
    </row>
    <row r="25" spans="1:4">
      <c r="A25" t="s">
        <v>99</v>
      </c>
      <c r="B25">
        <v>20</v>
      </c>
      <c r="C25">
        <v>20</v>
      </c>
      <c r="D25">
        <v>1113778.8799999999</v>
      </c>
    </row>
    <row r="26" spans="1:4">
      <c r="A26" t="s">
        <v>100</v>
      </c>
      <c r="B26">
        <v>23</v>
      </c>
      <c r="C26">
        <v>23</v>
      </c>
      <c r="D26">
        <v>1109318.2</v>
      </c>
    </row>
    <row r="27" spans="1:4">
      <c r="A27" t="s">
        <v>101</v>
      </c>
      <c r="B27">
        <v>22</v>
      </c>
      <c r="C27">
        <v>22</v>
      </c>
      <c r="D27">
        <v>1092412.2</v>
      </c>
    </row>
    <row r="28" spans="1:4">
      <c r="A28" t="s">
        <v>102</v>
      </c>
      <c r="B28">
        <v>20</v>
      </c>
      <c r="C28">
        <v>20</v>
      </c>
      <c r="D28">
        <v>1081911.6000000001</v>
      </c>
    </row>
    <row r="29" spans="1:4">
      <c r="A29" t="s">
        <v>103</v>
      </c>
      <c r="B29">
        <v>26</v>
      </c>
      <c r="C29">
        <v>26</v>
      </c>
      <c r="D29">
        <v>1016778.51</v>
      </c>
    </row>
    <row r="30" spans="1:4">
      <c r="A30" t="s">
        <v>104</v>
      </c>
      <c r="B30">
        <v>23</v>
      </c>
      <c r="C30">
        <v>23</v>
      </c>
      <c r="D30">
        <v>968744.41999999993</v>
      </c>
    </row>
    <row r="31" spans="1:4">
      <c r="A31" t="s">
        <v>105</v>
      </c>
      <c r="B31">
        <v>23</v>
      </c>
      <c r="C31">
        <v>23</v>
      </c>
      <c r="D31">
        <v>938016.09</v>
      </c>
    </row>
    <row r="32" spans="1:4">
      <c r="A32" t="s">
        <v>106</v>
      </c>
      <c r="B32">
        <v>22</v>
      </c>
      <c r="C32">
        <v>22</v>
      </c>
      <c r="D32">
        <v>928798.96</v>
      </c>
    </row>
    <row r="33" spans="1:4">
      <c r="A33" t="s">
        <v>107</v>
      </c>
      <c r="B33">
        <v>20</v>
      </c>
      <c r="C33">
        <v>20</v>
      </c>
      <c r="D33">
        <v>909982.5</v>
      </c>
    </row>
    <row r="34" spans="1:4">
      <c r="A34" t="s">
        <v>108</v>
      </c>
      <c r="B34">
        <v>18</v>
      </c>
      <c r="C34">
        <v>18</v>
      </c>
      <c r="D34">
        <v>872133.53</v>
      </c>
    </row>
    <row r="35" spans="1:4">
      <c r="A35" t="s">
        <v>109</v>
      </c>
      <c r="B35">
        <v>24</v>
      </c>
      <c r="C35">
        <v>24</v>
      </c>
      <c r="D35">
        <v>864944.64000000001</v>
      </c>
    </row>
    <row r="36" spans="1:4">
      <c r="A36" t="s">
        <v>110</v>
      </c>
      <c r="B36">
        <v>23</v>
      </c>
      <c r="C36">
        <v>23</v>
      </c>
      <c r="D36">
        <v>858933.72</v>
      </c>
    </row>
    <row r="37" spans="1:4">
      <c r="A37" t="s">
        <v>111</v>
      </c>
      <c r="B37">
        <v>22</v>
      </c>
      <c r="C37">
        <v>22</v>
      </c>
      <c r="D37">
        <v>848630.3</v>
      </c>
    </row>
    <row r="38" spans="1:4">
      <c r="A38" t="s">
        <v>112</v>
      </c>
      <c r="B38">
        <v>18</v>
      </c>
      <c r="C38">
        <v>18</v>
      </c>
      <c r="D38">
        <v>841579.2</v>
      </c>
    </row>
    <row r="39" spans="1:4">
      <c r="A39" t="s">
        <v>113</v>
      </c>
      <c r="B39">
        <v>19</v>
      </c>
      <c r="C39">
        <v>19</v>
      </c>
      <c r="D39">
        <v>826662.32000000007</v>
      </c>
    </row>
    <row r="40" spans="1:4">
      <c r="A40" t="s">
        <v>114</v>
      </c>
      <c r="B40">
        <v>21</v>
      </c>
      <c r="C40">
        <v>21</v>
      </c>
      <c r="D40">
        <v>777959.04</v>
      </c>
    </row>
    <row r="41" spans="1:4">
      <c r="A41" t="s">
        <v>115</v>
      </c>
      <c r="B41">
        <v>19</v>
      </c>
      <c r="C41">
        <v>19</v>
      </c>
      <c r="D41">
        <v>757368.86</v>
      </c>
    </row>
    <row r="42" spans="1:4">
      <c r="A42" t="s">
        <v>116</v>
      </c>
      <c r="B42">
        <v>22</v>
      </c>
      <c r="C42">
        <v>22</v>
      </c>
      <c r="D42">
        <v>749323.52000000014</v>
      </c>
    </row>
    <row r="43" spans="1:4">
      <c r="A43" t="s">
        <v>117</v>
      </c>
      <c r="B43">
        <v>20</v>
      </c>
      <c r="C43">
        <v>20</v>
      </c>
      <c r="D43">
        <v>738482.4</v>
      </c>
    </row>
    <row r="44" spans="1:4">
      <c r="A44" t="s">
        <v>118</v>
      </c>
      <c r="B44">
        <v>23</v>
      </c>
      <c r="C44">
        <v>23</v>
      </c>
      <c r="D44">
        <v>661923.6</v>
      </c>
    </row>
    <row r="45" spans="1:4">
      <c r="A45" t="s">
        <v>119</v>
      </c>
      <c r="B45">
        <v>24</v>
      </c>
      <c r="C45">
        <v>24</v>
      </c>
      <c r="D45">
        <v>650702.52</v>
      </c>
    </row>
    <row r="46" spans="1:4">
      <c r="A46" t="s">
        <v>120</v>
      </c>
      <c r="B46">
        <v>18</v>
      </c>
      <c r="C46">
        <v>18</v>
      </c>
      <c r="D46">
        <v>614212.56000000006</v>
      </c>
    </row>
    <row r="47" spans="1:4">
      <c r="A47" t="s">
        <v>121</v>
      </c>
      <c r="B47">
        <v>20</v>
      </c>
      <c r="C47">
        <v>20</v>
      </c>
      <c r="D47">
        <v>575957.48</v>
      </c>
    </row>
    <row r="48" spans="1:4">
      <c r="A48" t="s">
        <v>122</v>
      </c>
      <c r="B48">
        <v>20</v>
      </c>
      <c r="C48">
        <v>20</v>
      </c>
      <c r="D48">
        <v>548856</v>
      </c>
    </row>
    <row r="49" spans="1:4">
      <c r="A49" t="s">
        <v>123</v>
      </c>
      <c r="B49">
        <v>23</v>
      </c>
      <c r="C49">
        <v>23</v>
      </c>
      <c r="D49">
        <v>541693.08000000007</v>
      </c>
    </row>
    <row r="50" spans="1:4">
      <c r="A50" t="s">
        <v>124</v>
      </c>
      <c r="B50">
        <v>20</v>
      </c>
      <c r="C50">
        <v>20</v>
      </c>
      <c r="D50">
        <v>536024.92000000004</v>
      </c>
    </row>
    <row r="51" spans="1:4">
      <c r="A51" t="s">
        <v>125</v>
      </c>
      <c r="B51">
        <v>20</v>
      </c>
      <c r="C51">
        <v>20</v>
      </c>
      <c r="D51">
        <v>535258.23</v>
      </c>
    </row>
    <row r="52" spans="1:4">
      <c r="A52" t="s">
        <v>126</v>
      </c>
      <c r="B52">
        <v>22</v>
      </c>
      <c r="C52">
        <v>22</v>
      </c>
      <c r="D52">
        <v>532080.23</v>
      </c>
    </row>
    <row r="53" spans="1:4">
      <c r="A53" t="s">
        <v>127</v>
      </c>
      <c r="B53">
        <v>24</v>
      </c>
      <c r="C53">
        <v>24</v>
      </c>
      <c r="D53">
        <v>527721.5</v>
      </c>
    </row>
    <row r="54" spans="1:4">
      <c r="A54" t="s">
        <v>128</v>
      </c>
      <c r="B54">
        <v>18</v>
      </c>
      <c r="C54">
        <v>18</v>
      </c>
      <c r="D54">
        <v>523747.35</v>
      </c>
    </row>
    <row r="55" spans="1:4">
      <c r="A55" t="s">
        <v>129</v>
      </c>
      <c r="B55">
        <v>20</v>
      </c>
      <c r="C55">
        <v>20</v>
      </c>
      <c r="D55">
        <v>521913.28</v>
      </c>
    </row>
    <row r="56" spans="1:4">
      <c r="A56" t="s">
        <v>130</v>
      </c>
      <c r="B56">
        <v>21</v>
      </c>
      <c r="C56">
        <v>21</v>
      </c>
      <c r="D56">
        <v>519622.40000000002</v>
      </c>
    </row>
    <row r="57" spans="1:4">
      <c r="A57" t="s">
        <v>131</v>
      </c>
      <c r="B57">
        <v>24</v>
      </c>
      <c r="C57">
        <v>24</v>
      </c>
      <c r="D57">
        <v>514219.86</v>
      </c>
    </row>
    <row r="58" spans="1:4">
      <c r="A58" t="s">
        <v>132</v>
      </c>
      <c r="B58">
        <v>20</v>
      </c>
      <c r="C58">
        <v>20</v>
      </c>
      <c r="D58">
        <v>501047.81999999989</v>
      </c>
    </row>
    <row r="59" spans="1:4">
      <c r="A59" t="s">
        <v>133</v>
      </c>
      <c r="B59">
        <v>22</v>
      </c>
      <c r="C59">
        <v>22</v>
      </c>
      <c r="D59">
        <v>498383.7</v>
      </c>
    </row>
    <row r="60" spans="1:4">
      <c r="A60" t="s">
        <v>134</v>
      </c>
      <c r="B60">
        <v>25</v>
      </c>
      <c r="C60">
        <v>25</v>
      </c>
      <c r="D60">
        <v>486886.8</v>
      </c>
    </row>
    <row r="61" spans="1:4">
      <c r="A61" t="s">
        <v>135</v>
      </c>
      <c r="B61">
        <v>15</v>
      </c>
      <c r="C61">
        <v>15</v>
      </c>
      <c r="D61">
        <v>486727.29</v>
      </c>
    </row>
    <row r="62" spans="1:4">
      <c r="A62" t="s">
        <v>136</v>
      </c>
      <c r="B62">
        <v>20</v>
      </c>
      <c r="C62">
        <v>20</v>
      </c>
      <c r="D62">
        <v>483664.4</v>
      </c>
    </row>
    <row r="63" spans="1:4">
      <c r="A63" t="s">
        <v>137</v>
      </c>
      <c r="B63">
        <v>24</v>
      </c>
      <c r="C63">
        <v>24</v>
      </c>
      <c r="D63">
        <v>455638.28</v>
      </c>
    </row>
    <row r="64" spans="1:4">
      <c r="A64" t="s">
        <v>138</v>
      </c>
      <c r="B64">
        <v>23</v>
      </c>
      <c r="C64">
        <v>23</v>
      </c>
      <c r="D64">
        <v>454809.96</v>
      </c>
    </row>
    <row r="65" spans="1:4">
      <c r="A65" t="s">
        <v>139</v>
      </c>
      <c r="B65">
        <v>20</v>
      </c>
      <c r="C65">
        <v>20</v>
      </c>
      <c r="D65">
        <v>444754.88</v>
      </c>
    </row>
    <row r="66" spans="1:4">
      <c r="A66" t="s">
        <v>140</v>
      </c>
      <c r="B66">
        <v>16</v>
      </c>
      <c r="C66">
        <v>16</v>
      </c>
      <c r="D66">
        <v>434870.37</v>
      </c>
    </row>
    <row r="67" spans="1:4">
      <c r="A67" t="s">
        <v>141</v>
      </c>
      <c r="B67">
        <v>24</v>
      </c>
      <c r="C67">
        <v>24</v>
      </c>
      <c r="D67">
        <v>433232.35</v>
      </c>
    </row>
    <row r="68" spans="1:4">
      <c r="A68" t="s">
        <v>142</v>
      </c>
      <c r="B68">
        <v>21</v>
      </c>
      <c r="C68">
        <v>21</v>
      </c>
      <c r="D68">
        <v>426919.6</v>
      </c>
    </row>
    <row r="69" spans="1:4">
      <c r="A69" t="s">
        <v>143</v>
      </c>
      <c r="B69">
        <v>22</v>
      </c>
      <c r="C69">
        <v>22</v>
      </c>
      <c r="D69">
        <v>404941.5</v>
      </c>
    </row>
    <row r="70" spans="1:4">
      <c r="A70" t="s">
        <v>144</v>
      </c>
      <c r="B70">
        <v>17</v>
      </c>
      <c r="C70">
        <v>17</v>
      </c>
      <c r="D70">
        <v>388686.98</v>
      </c>
    </row>
    <row r="71" spans="1:4">
      <c r="A71" t="s">
        <v>145</v>
      </c>
      <c r="B71">
        <v>19</v>
      </c>
      <c r="C71">
        <v>19</v>
      </c>
      <c r="D71">
        <v>385823.36</v>
      </c>
    </row>
    <row r="72" spans="1:4">
      <c r="A72" t="s">
        <v>146</v>
      </c>
      <c r="B72">
        <v>17</v>
      </c>
      <c r="C72">
        <v>17</v>
      </c>
      <c r="D72">
        <v>381929.52</v>
      </c>
    </row>
    <row r="73" spans="1:4">
      <c r="A73" t="s">
        <v>147</v>
      </c>
      <c r="B73">
        <v>19</v>
      </c>
      <c r="C73">
        <v>19</v>
      </c>
      <c r="D73">
        <v>376092.36</v>
      </c>
    </row>
    <row r="74" spans="1:4">
      <c r="A74" t="s">
        <v>148</v>
      </c>
      <c r="B74">
        <v>19</v>
      </c>
      <c r="C74">
        <v>19</v>
      </c>
      <c r="D74">
        <v>375476.30999999988</v>
      </c>
    </row>
    <row r="75" spans="1:4">
      <c r="A75" t="s">
        <v>149</v>
      </c>
      <c r="B75">
        <v>23</v>
      </c>
      <c r="C75">
        <v>23</v>
      </c>
      <c r="D75">
        <v>358192.56</v>
      </c>
    </row>
    <row r="76" spans="1:4">
      <c r="A76" t="s">
        <v>150</v>
      </c>
      <c r="B76">
        <v>19</v>
      </c>
      <c r="C76">
        <v>19</v>
      </c>
      <c r="D76">
        <v>357655.13</v>
      </c>
    </row>
    <row r="77" spans="1:4">
      <c r="A77" t="s">
        <v>151</v>
      </c>
      <c r="B77">
        <v>21</v>
      </c>
      <c r="C77">
        <v>21</v>
      </c>
      <c r="D77">
        <v>354443.2</v>
      </c>
    </row>
    <row r="78" spans="1:4">
      <c r="A78" t="s">
        <v>152</v>
      </c>
      <c r="B78">
        <v>21</v>
      </c>
      <c r="C78">
        <v>21</v>
      </c>
      <c r="D78">
        <v>338632.65</v>
      </c>
    </row>
    <row r="79" spans="1:4">
      <c r="A79" t="s">
        <v>153</v>
      </c>
      <c r="B79">
        <v>24</v>
      </c>
      <c r="C79">
        <v>24</v>
      </c>
      <c r="D79">
        <v>328242.46000000002</v>
      </c>
    </row>
    <row r="80" spans="1:4">
      <c r="A80" t="s">
        <v>154</v>
      </c>
      <c r="B80">
        <v>18</v>
      </c>
      <c r="C80">
        <v>18</v>
      </c>
      <c r="D80">
        <v>327954.59999999998</v>
      </c>
    </row>
    <row r="81" spans="1:4">
      <c r="A81" t="s">
        <v>155</v>
      </c>
      <c r="B81">
        <v>19</v>
      </c>
      <c r="C81">
        <v>19</v>
      </c>
      <c r="D81">
        <v>327185.15999999997</v>
      </c>
    </row>
    <row r="82" spans="1:4">
      <c r="A82" t="s">
        <v>156</v>
      </c>
      <c r="B82">
        <v>20</v>
      </c>
      <c r="C82">
        <v>20</v>
      </c>
      <c r="D82">
        <v>321686.71999999997</v>
      </c>
    </row>
    <row r="83" spans="1:4">
      <c r="A83" t="s">
        <v>157</v>
      </c>
      <c r="B83">
        <v>24</v>
      </c>
      <c r="C83">
        <v>24</v>
      </c>
      <c r="D83">
        <v>302615.46000000002</v>
      </c>
    </row>
    <row r="84" spans="1:4">
      <c r="A84" t="s">
        <v>158</v>
      </c>
      <c r="B84">
        <v>22</v>
      </c>
      <c r="C84">
        <v>22</v>
      </c>
      <c r="D84">
        <v>301357.2</v>
      </c>
    </row>
    <row r="85" spans="1:4">
      <c r="A85" t="s">
        <v>159</v>
      </c>
      <c r="B85">
        <v>15</v>
      </c>
      <c r="C85">
        <v>15</v>
      </c>
      <c r="D85">
        <v>294604.56</v>
      </c>
    </row>
    <row r="86" spans="1:4">
      <c r="A86" t="s">
        <v>160</v>
      </c>
      <c r="B86">
        <v>19</v>
      </c>
      <c r="C86">
        <v>19</v>
      </c>
      <c r="D86">
        <v>294018.69</v>
      </c>
    </row>
    <row r="87" spans="1:4">
      <c r="A87" t="s">
        <v>161</v>
      </c>
      <c r="B87">
        <v>20</v>
      </c>
      <c r="C87">
        <v>20</v>
      </c>
      <c r="D87">
        <v>293868.36</v>
      </c>
    </row>
    <row r="88" spans="1:4">
      <c r="A88" t="s">
        <v>162</v>
      </c>
      <c r="B88">
        <v>17</v>
      </c>
      <c r="C88">
        <v>17</v>
      </c>
      <c r="D88">
        <v>288798.40000000002</v>
      </c>
    </row>
    <row r="89" spans="1:4">
      <c r="A89" t="s">
        <v>163</v>
      </c>
      <c r="B89">
        <v>16</v>
      </c>
      <c r="C89">
        <v>16</v>
      </c>
      <c r="D89">
        <v>288129.74</v>
      </c>
    </row>
    <row r="90" spans="1:4">
      <c r="A90" t="s">
        <v>164</v>
      </c>
      <c r="B90">
        <v>20</v>
      </c>
      <c r="C90">
        <v>20</v>
      </c>
      <c r="D90">
        <v>272782.52</v>
      </c>
    </row>
    <row r="91" spans="1:4">
      <c r="A91" t="s">
        <v>165</v>
      </c>
      <c r="B91">
        <v>22</v>
      </c>
      <c r="C91">
        <v>22</v>
      </c>
      <c r="D91">
        <v>271102.18</v>
      </c>
    </row>
    <row r="92" spans="1:4">
      <c r="A92" t="s">
        <v>166</v>
      </c>
      <c r="B92">
        <v>23</v>
      </c>
      <c r="C92">
        <v>23</v>
      </c>
      <c r="D92">
        <v>269517.01</v>
      </c>
    </row>
    <row r="93" spans="1:4">
      <c r="A93" t="s">
        <v>167</v>
      </c>
      <c r="B93">
        <v>22</v>
      </c>
      <c r="C93">
        <v>22</v>
      </c>
      <c r="D93">
        <v>269389.59999999998</v>
      </c>
    </row>
    <row r="94" spans="1:4">
      <c r="A94" t="s">
        <v>168</v>
      </c>
      <c r="B94">
        <v>19</v>
      </c>
      <c r="C94">
        <v>19</v>
      </c>
      <c r="D94">
        <v>268283.44</v>
      </c>
    </row>
    <row r="95" spans="1:4">
      <c r="A95" t="s">
        <v>169</v>
      </c>
      <c r="B95">
        <v>23</v>
      </c>
      <c r="C95">
        <v>23</v>
      </c>
      <c r="D95">
        <v>264257.7</v>
      </c>
    </row>
    <row r="96" spans="1:4">
      <c r="A96" t="s">
        <v>170</v>
      </c>
      <c r="B96">
        <v>22</v>
      </c>
      <c r="C96">
        <v>22</v>
      </c>
      <c r="D96">
        <v>262897.2</v>
      </c>
    </row>
    <row r="97" spans="1:4">
      <c r="A97" t="s">
        <v>171</v>
      </c>
      <c r="B97">
        <v>23</v>
      </c>
      <c r="C97">
        <v>23</v>
      </c>
      <c r="D97">
        <v>250824.5</v>
      </c>
    </row>
    <row r="98" spans="1:4">
      <c r="A98" t="s">
        <v>172</v>
      </c>
      <c r="B98">
        <v>21</v>
      </c>
      <c r="C98">
        <v>21</v>
      </c>
      <c r="D98">
        <v>246067.08</v>
      </c>
    </row>
    <row r="99" spans="1:4">
      <c r="A99" t="s">
        <v>173</v>
      </c>
      <c r="B99">
        <v>21</v>
      </c>
      <c r="C99">
        <v>21</v>
      </c>
      <c r="D99">
        <v>244885.68</v>
      </c>
    </row>
    <row r="100" spans="1:4">
      <c r="A100" t="s">
        <v>174</v>
      </c>
      <c r="B100">
        <v>25</v>
      </c>
      <c r="C100">
        <v>25</v>
      </c>
      <c r="D100">
        <v>244092.1</v>
      </c>
    </row>
    <row r="101" spans="1:4">
      <c r="A101" t="s">
        <v>175</v>
      </c>
      <c r="B101">
        <v>25</v>
      </c>
      <c r="C101">
        <v>25</v>
      </c>
      <c r="D101">
        <v>243927.39</v>
      </c>
    </row>
    <row r="102" spans="1:4">
      <c r="A102" t="s">
        <v>176</v>
      </c>
      <c r="B102">
        <v>24</v>
      </c>
      <c r="C102">
        <v>24</v>
      </c>
      <c r="D102">
        <v>241536.36</v>
      </c>
    </row>
    <row r="103" spans="1:4">
      <c r="A103" t="s">
        <v>177</v>
      </c>
      <c r="B103">
        <v>21</v>
      </c>
      <c r="C103">
        <v>21</v>
      </c>
      <c r="D103">
        <v>240918.16</v>
      </c>
    </row>
    <row r="104" spans="1:4">
      <c r="A104" t="s">
        <v>178</v>
      </c>
      <c r="B104">
        <v>22</v>
      </c>
      <c r="C104">
        <v>22</v>
      </c>
      <c r="D104">
        <v>236992.34</v>
      </c>
    </row>
    <row r="105" spans="1:4">
      <c r="A105" t="s">
        <v>179</v>
      </c>
      <c r="B105">
        <v>22</v>
      </c>
      <c r="C105">
        <v>22</v>
      </c>
      <c r="D105">
        <v>231514.5</v>
      </c>
    </row>
    <row r="106" spans="1:4">
      <c r="A106" t="s">
        <v>180</v>
      </c>
      <c r="B106">
        <v>24</v>
      </c>
      <c r="C106">
        <v>24</v>
      </c>
      <c r="D106">
        <v>231084.79</v>
      </c>
    </row>
    <row r="107" spans="1:4">
      <c r="A107" t="s">
        <v>181</v>
      </c>
      <c r="B107">
        <v>23</v>
      </c>
      <c r="C107">
        <v>23</v>
      </c>
      <c r="D107">
        <v>227292.72</v>
      </c>
    </row>
    <row r="108" spans="1:4">
      <c r="A108" t="s">
        <v>182</v>
      </c>
      <c r="B108">
        <v>19</v>
      </c>
      <c r="C108">
        <v>19</v>
      </c>
      <c r="D108">
        <v>224062.83</v>
      </c>
    </row>
    <row r="109" spans="1:4">
      <c r="A109" t="s">
        <v>183</v>
      </c>
      <c r="B109">
        <v>23</v>
      </c>
      <c r="C109">
        <v>23</v>
      </c>
      <c r="D109">
        <v>218298.06</v>
      </c>
    </row>
    <row r="110" spans="1:4">
      <c r="A110" t="s">
        <v>184</v>
      </c>
      <c r="B110">
        <v>24</v>
      </c>
      <c r="C110">
        <v>24</v>
      </c>
      <c r="D110">
        <v>218078.07</v>
      </c>
    </row>
    <row r="111" spans="1:4">
      <c r="A111" t="s">
        <v>185</v>
      </c>
      <c r="B111">
        <v>18</v>
      </c>
      <c r="C111">
        <v>18</v>
      </c>
      <c r="D111">
        <v>212151.36</v>
      </c>
    </row>
    <row r="112" spans="1:4">
      <c r="A112" t="s">
        <v>186</v>
      </c>
      <c r="B112">
        <v>21</v>
      </c>
      <c r="C112">
        <v>21</v>
      </c>
      <c r="D112">
        <v>211815.18</v>
      </c>
    </row>
    <row r="113" spans="1:4">
      <c r="A113" t="s">
        <v>187</v>
      </c>
      <c r="B113">
        <v>19</v>
      </c>
      <c r="C113">
        <v>19</v>
      </c>
      <c r="D113">
        <v>207387.99</v>
      </c>
    </row>
    <row r="114" spans="1:4">
      <c r="A114" t="s">
        <v>188</v>
      </c>
      <c r="B114">
        <v>20</v>
      </c>
      <c r="C114">
        <v>20</v>
      </c>
      <c r="D114">
        <v>201624.36</v>
      </c>
    </row>
    <row r="115" spans="1:4">
      <c r="A115" t="s">
        <v>189</v>
      </c>
      <c r="B115">
        <v>24</v>
      </c>
      <c r="C115">
        <v>24</v>
      </c>
      <c r="D115">
        <v>199629.36</v>
      </c>
    </row>
    <row r="116" spans="1:4">
      <c r="A116" t="s">
        <v>190</v>
      </c>
      <c r="B116">
        <v>23</v>
      </c>
      <c r="C116">
        <v>23</v>
      </c>
      <c r="D116">
        <v>198912.16</v>
      </c>
    </row>
    <row r="117" spans="1:4">
      <c r="A117" t="s">
        <v>191</v>
      </c>
      <c r="B117">
        <v>22</v>
      </c>
      <c r="C117">
        <v>22</v>
      </c>
      <c r="D117">
        <v>197898.3</v>
      </c>
    </row>
    <row r="118" spans="1:4">
      <c r="A118" t="s">
        <v>192</v>
      </c>
      <c r="B118">
        <v>22</v>
      </c>
      <c r="C118">
        <v>22</v>
      </c>
      <c r="D118">
        <v>197311.68</v>
      </c>
    </row>
    <row r="119" spans="1:4">
      <c r="A119" t="s">
        <v>193</v>
      </c>
      <c r="B119">
        <v>21</v>
      </c>
      <c r="C119">
        <v>21</v>
      </c>
      <c r="D119">
        <v>195715</v>
      </c>
    </row>
    <row r="120" spans="1:4">
      <c r="A120" t="s">
        <v>194</v>
      </c>
      <c r="B120">
        <v>20</v>
      </c>
      <c r="C120">
        <v>20</v>
      </c>
      <c r="D120">
        <v>195581.2</v>
      </c>
    </row>
    <row r="121" spans="1:4">
      <c r="A121" t="s">
        <v>195</v>
      </c>
      <c r="B121">
        <v>22</v>
      </c>
      <c r="C121">
        <v>22</v>
      </c>
      <c r="D121">
        <v>195425.79</v>
      </c>
    </row>
    <row r="122" spans="1:4">
      <c r="A122" t="s">
        <v>196</v>
      </c>
      <c r="B122">
        <v>20</v>
      </c>
      <c r="C122">
        <v>20</v>
      </c>
      <c r="D122">
        <v>195395.92</v>
      </c>
    </row>
    <row r="123" spans="1:4">
      <c r="A123" t="s">
        <v>197</v>
      </c>
      <c r="B123">
        <v>18</v>
      </c>
      <c r="C123">
        <v>18</v>
      </c>
      <c r="D123">
        <v>193646.82</v>
      </c>
    </row>
    <row r="124" spans="1:4">
      <c r="A124" t="s">
        <v>198</v>
      </c>
      <c r="B124">
        <v>22</v>
      </c>
      <c r="C124">
        <v>22</v>
      </c>
      <c r="D124">
        <v>189948</v>
      </c>
    </row>
    <row r="125" spans="1:4">
      <c r="A125" t="s">
        <v>199</v>
      </c>
      <c r="B125">
        <v>21</v>
      </c>
      <c r="C125">
        <v>21</v>
      </c>
      <c r="D125">
        <v>189329.68</v>
      </c>
    </row>
    <row r="126" spans="1:4">
      <c r="A126" t="s">
        <v>200</v>
      </c>
      <c r="B126">
        <v>17</v>
      </c>
      <c r="C126">
        <v>17</v>
      </c>
      <c r="D126">
        <v>189253.68</v>
      </c>
    </row>
    <row r="127" spans="1:4">
      <c r="A127" t="s">
        <v>201</v>
      </c>
      <c r="B127">
        <v>17</v>
      </c>
      <c r="C127">
        <v>17</v>
      </c>
      <c r="D127">
        <v>188532.83</v>
      </c>
    </row>
    <row r="128" spans="1:4">
      <c r="A128" t="s">
        <v>202</v>
      </c>
      <c r="B128">
        <v>24</v>
      </c>
      <c r="C128">
        <v>24</v>
      </c>
      <c r="D128">
        <v>186532.5</v>
      </c>
    </row>
    <row r="129" spans="1:4">
      <c r="A129" t="s">
        <v>203</v>
      </c>
      <c r="B129">
        <v>22</v>
      </c>
      <c r="C129">
        <v>22</v>
      </c>
      <c r="D129">
        <v>184740.32</v>
      </c>
    </row>
    <row r="130" spans="1:4">
      <c r="A130" t="s">
        <v>204</v>
      </c>
      <c r="B130">
        <v>15</v>
      </c>
      <c r="C130">
        <v>15</v>
      </c>
      <c r="D130">
        <v>182395.06</v>
      </c>
    </row>
    <row r="131" spans="1:4">
      <c r="A131" t="s">
        <v>205</v>
      </c>
      <c r="B131">
        <v>21</v>
      </c>
      <c r="C131">
        <v>21</v>
      </c>
      <c r="D131">
        <v>179006.4</v>
      </c>
    </row>
    <row r="132" spans="1:4">
      <c r="A132" t="s">
        <v>206</v>
      </c>
      <c r="B132">
        <v>23</v>
      </c>
      <c r="C132">
        <v>23</v>
      </c>
      <c r="D132">
        <v>178167.4</v>
      </c>
    </row>
    <row r="133" spans="1:4">
      <c r="A133" t="s">
        <v>207</v>
      </c>
      <c r="B133">
        <v>1</v>
      </c>
      <c r="C133">
        <v>1</v>
      </c>
      <c r="D133">
        <v>177878.39999999999</v>
      </c>
    </row>
    <row r="134" spans="1:4">
      <c r="A134" t="s">
        <v>208</v>
      </c>
      <c r="B134">
        <v>21</v>
      </c>
      <c r="C134">
        <v>21</v>
      </c>
      <c r="D134">
        <v>176841.60000000001</v>
      </c>
    </row>
    <row r="135" spans="1:4">
      <c r="A135" t="s">
        <v>209</v>
      </c>
      <c r="B135">
        <v>21</v>
      </c>
      <c r="C135">
        <v>21</v>
      </c>
      <c r="D135">
        <v>175681.22</v>
      </c>
    </row>
    <row r="136" spans="1:4">
      <c r="A136" t="s">
        <v>210</v>
      </c>
      <c r="B136">
        <v>23</v>
      </c>
      <c r="C136">
        <v>23</v>
      </c>
      <c r="D136">
        <v>175631.76</v>
      </c>
    </row>
    <row r="137" spans="1:4">
      <c r="A137" t="s">
        <v>211</v>
      </c>
      <c r="B137">
        <v>23</v>
      </c>
      <c r="C137">
        <v>23</v>
      </c>
      <c r="D137">
        <v>171313.44</v>
      </c>
    </row>
    <row r="138" spans="1:4">
      <c r="A138" t="s">
        <v>212</v>
      </c>
      <c r="B138">
        <v>23</v>
      </c>
      <c r="C138">
        <v>23</v>
      </c>
      <c r="D138">
        <v>170256.2</v>
      </c>
    </row>
    <row r="139" spans="1:4">
      <c r="A139" t="s">
        <v>213</v>
      </c>
      <c r="B139">
        <v>20</v>
      </c>
      <c r="C139">
        <v>20</v>
      </c>
      <c r="D139">
        <v>166917.14000000001</v>
      </c>
    </row>
    <row r="140" spans="1:4">
      <c r="A140" t="s">
        <v>214</v>
      </c>
      <c r="B140">
        <v>20</v>
      </c>
      <c r="C140">
        <v>20</v>
      </c>
      <c r="D140">
        <v>165299.64000000001</v>
      </c>
    </row>
    <row r="141" spans="1:4">
      <c r="A141" t="s">
        <v>215</v>
      </c>
      <c r="B141">
        <v>23</v>
      </c>
      <c r="C141">
        <v>23</v>
      </c>
      <c r="D141">
        <v>164108.1</v>
      </c>
    </row>
    <row r="142" spans="1:4">
      <c r="A142" t="s">
        <v>216</v>
      </c>
      <c r="B142">
        <v>22</v>
      </c>
      <c r="C142">
        <v>22</v>
      </c>
      <c r="D142">
        <v>162155.51999999999</v>
      </c>
    </row>
    <row r="143" spans="1:4">
      <c r="A143" t="s">
        <v>217</v>
      </c>
      <c r="B143">
        <v>20</v>
      </c>
      <c r="C143">
        <v>20</v>
      </c>
      <c r="D143">
        <v>156996.06</v>
      </c>
    </row>
    <row r="144" spans="1:4">
      <c r="A144" t="s">
        <v>218</v>
      </c>
      <c r="B144">
        <v>20</v>
      </c>
      <c r="C144">
        <v>20</v>
      </c>
      <c r="D144">
        <v>154538.62</v>
      </c>
    </row>
    <row r="145" spans="1:4">
      <c r="A145" t="s">
        <v>219</v>
      </c>
      <c r="B145">
        <v>22</v>
      </c>
      <c r="C145">
        <v>22</v>
      </c>
      <c r="D145">
        <v>151667.28</v>
      </c>
    </row>
    <row r="146" spans="1:4">
      <c r="A146" t="s">
        <v>220</v>
      </c>
      <c r="B146">
        <v>19</v>
      </c>
      <c r="C146">
        <v>19</v>
      </c>
      <c r="D146">
        <v>150455.91</v>
      </c>
    </row>
    <row r="147" spans="1:4">
      <c r="A147" t="s">
        <v>221</v>
      </c>
      <c r="B147">
        <v>17</v>
      </c>
      <c r="C147">
        <v>17</v>
      </c>
      <c r="D147">
        <v>150282.78</v>
      </c>
    </row>
    <row r="148" spans="1:4">
      <c r="A148" t="s">
        <v>222</v>
      </c>
      <c r="B148">
        <v>25</v>
      </c>
      <c r="C148">
        <v>25</v>
      </c>
      <c r="D148">
        <v>148192</v>
      </c>
    </row>
    <row r="149" spans="1:4">
      <c r="A149" t="s">
        <v>223</v>
      </c>
      <c r="B149">
        <v>18</v>
      </c>
      <c r="C149">
        <v>18</v>
      </c>
      <c r="D149">
        <v>144832.38</v>
      </c>
    </row>
    <row r="150" spans="1:4">
      <c r="A150" t="s">
        <v>224</v>
      </c>
      <c r="B150">
        <v>23</v>
      </c>
      <c r="C150">
        <v>23</v>
      </c>
      <c r="D150">
        <v>144664.70000000001</v>
      </c>
    </row>
    <row r="151" spans="1:4">
      <c r="A151" t="s">
        <v>225</v>
      </c>
      <c r="B151">
        <v>22</v>
      </c>
      <c r="C151">
        <v>22</v>
      </c>
      <c r="D151">
        <v>143830.07999999999</v>
      </c>
    </row>
    <row r="152" spans="1:4">
      <c r="A152" t="s">
        <v>226</v>
      </c>
      <c r="B152">
        <v>23</v>
      </c>
      <c r="C152">
        <v>23</v>
      </c>
      <c r="D152">
        <v>142840.74</v>
      </c>
    </row>
    <row r="153" spans="1:4">
      <c r="A153" t="s">
        <v>227</v>
      </c>
      <c r="B153">
        <v>24</v>
      </c>
      <c r="C153">
        <v>24</v>
      </c>
      <c r="D153">
        <v>141568</v>
      </c>
    </row>
    <row r="154" spans="1:4">
      <c r="A154" t="s">
        <v>228</v>
      </c>
      <c r="B154">
        <v>17</v>
      </c>
      <c r="C154">
        <v>17</v>
      </c>
      <c r="D154">
        <v>138129.26</v>
      </c>
    </row>
    <row r="155" spans="1:4">
      <c r="A155" t="s">
        <v>229</v>
      </c>
      <c r="B155">
        <v>1</v>
      </c>
      <c r="C155">
        <v>1</v>
      </c>
      <c r="D155">
        <v>135566.46</v>
      </c>
    </row>
    <row r="156" spans="1:4">
      <c r="A156" t="s">
        <v>230</v>
      </c>
      <c r="B156">
        <v>1</v>
      </c>
      <c r="C156">
        <v>1</v>
      </c>
      <c r="D156">
        <v>134300.85</v>
      </c>
    </row>
    <row r="157" spans="1:4">
      <c r="A157" t="s">
        <v>231</v>
      </c>
      <c r="B157">
        <v>14</v>
      </c>
      <c r="C157">
        <v>14</v>
      </c>
      <c r="D157">
        <v>130541.4</v>
      </c>
    </row>
    <row r="158" spans="1:4">
      <c r="A158" t="s">
        <v>232</v>
      </c>
      <c r="B158">
        <v>22</v>
      </c>
      <c r="C158">
        <v>22</v>
      </c>
      <c r="D158">
        <v>129320</v>
      </c>
    </row>
    <row r="159" spans="1:4">
      <c r="A159" t="s">
        <v>233</v>
      </c>
      <c r="B159">
        <v>16</v>
      </c>
      <c r="C159">
        <v>16</v>
      </c>
      <c r="D159">
        <v>128182.35</v>
      </c>
    </row>
    <row r="160" spans="1:4">
      <c r="A160" t="s">
        <v>234</v>
      </c>
      <c r="B160">
        <v>25</v>
      </c>
      <c r="C160">
        <v>25</v>
      </c>
      <c r="D160">
        <v>123014.22</v>
      </c>
    </row>
    <row r="161" spans="1:4">
      <c r="A161" t="s">
        <v>235</v>
      </c>
      <c r="B161">
        <v>25</v>
      </c>
      <c r="C161">
        <v>25</v>
      </c>
      <c r="D161">
        <v>122534.04</v>
      </c>
    </row>
    <row r="162" spans="1:4">
      <c r="A162" t="s">
        <v>236</v>
      </c>
      <c r="B162">
        <v>20</v>
      </c>
      <c r="C162">
        <v>20</v>
      </c>
      <c r="D162">
        <v>116052.12</v>
      </c>
    </row>
    <row r="163" spans="1:4">
      <c r="A163" t="s">
        <v>237</v>
      </c>
      <c r="B163">
        <v>20</v>
      </c>
      <c r="C163">
        <v>20</v>
      </c>
      <c r="D163">
        <v>114564.84</v>
      </c>
    </row>
    <row r="164" spans="1:4">
      <c r="A164" t="s">
        <v>238</v>
      </c>
      <c r="B164">
        <v>19</v>
      </c>
      <c r="C164">
        <v>19</v>
      </c>
      <c r="D164">
        <v>112036.73</v>
      </c>
    </row>
    <row r="165" spans="1:4">
      <c r="A165" t="s">
        <v>239</v>
      </c>
      <c r="B165">
        <v>19</v>
      </c>
      <c r="C165">
        <v>19</v>
      </c>
      <c r="D165">
        <v>110547.89</v>
      </c>
    </row>
    <row r="166" spans="1:4">
      <c r="A166" t="s">
        <v>240</v>
      </c>
      <c r="B166">
        <v>21</v>
      </c>
      <c r="C166">
        <v>21</v>
      </c>
      <c r="D166">
        <v>110010.6</v>
      </c>
    </row>
    <row r="167" spans="1:4">
      <c r="A167" t="s">
        <v>241</v>
      </c>
      <c r="B167">
        <v>19</v>
      </c>
      <c r="C167">
        <v>19</v>
      </c>
      <c r="D167">
        <v>105933.45</v>
      </c>
    </row>
    <row r="168" spans="1:4">
      <c r="A168" t="s">
        <v>242</v>
      </c>
      <c r="B168">
        <v>21</v>
      </c>
      <c r="C168">
        <v>21</v>
      </c>
      <c r="D168">
        <v>102690.99</v>
      </c>
    </row>
    <row r="169" spans="1:4">
      <c r="A169" t="s">
        <v>243</v>
      </c>
      <c r="B169">
        <v>19</v>
      </c>
      <c r="C169">
        <v>19</v>
      </c>
      <c r="D169">
        <v>102268.77</v>
      </c>
    </row>
    <row r="170" spans="1:4">
      <c r="A170" t="s">
        <v>244</v>
      </c>
      <c r="B170">
        <v>22</v>
      </c>
      <c r="C170">
        <v>22</v>
      </c>
      <c r="D170">
        <v>101699.15</v>
      </c>
    </row>
    <row r="171" spans="1:4">
      <c r="A171" t="s">
        <v>245</v>
      </c>
      <c r="B171">
        <v>20</v>
      </c>
      <c r="C171">
        <v>20</v>
      </c>
      <c r="D171">
        <v>100812.03</v>
      </c>
    </row>
    <row r="172" spans="1:4">
      <c r="A172" t="s">
        <v>246</v>
      </c>
      <c r="B172">
        <v>21</v>
      </c>
      <c r="C172">
        <v>21</v>
      </c>
      <c r="D172">
        <v>97714.37</v>
      </c>
    </row>
    <row r="173" spans="1:4">
      <c r="A173" t="s">
        <v>247</v>
      </c>
      <c r="B173">
        <v>18</v>
      </c>
      <c r="C173">
        <v>18</v>
      </c>
      <c r="D173">
        <v>97695.060000000012</v>
      </c>
    </row>
    <row r="174" spans="1:4">
      <c r="A174" t="s">
        <v>248</v>
      </c>
      <c r="B174">
        <v>22</v>
      </c>
      <c r="C174">
        <v>22</v>
      </c>
      <c r="D174">
        <v>96187.199999999997</v>
      </c>
    </row>
    <row r="175" spans="1:4">
      <c r="A175" t="s">
        <v>249</v>
      </c>
      <c r="B175">
        <v>23</v>
      </c>
      <c r="C175">
        <v>23</v>
      </c>
      <c r="D175">
        <v>95548.31</v>
      </c>
    </row>
    <row r="176" spans="1:4">
      <c r="A176" t="s">
        <v>250</v>
      </c>
      <c r="B176">
        <v>1</v>
      </c>
      <c r="C176">
        <v>1</v>
      </c>
      <c r="D176">
        <v>95185.659999999989</v>
      </c>
    </row>
    <row r="177" spans="1:4">
      <c r="A177" t="s">
        <v>251</v>
      </c>
      <c r="B177">
        <v>23</v>
      </c>
      <c r="C177">
        <v>23</v>
      </c>
      <c r="D177">
        <v>94489.64</v>
      </c>
    </row>
    <row r="178" spans="1:4">
      <c r="A178" t="s">
        <v>252</v>
      </c>
      <c r="B178">
        <v>23</v>
      </c>
      <c r="C178">
        <v>23</v>
      </c>
      <c r="D178">
        <v>91070.87</v>
      </c>
    </row>
    <row r="179" spans="1:4">
      <c r="A179" t="s">
        <v>253</v>
      </c>
      <c r="B179">
        <v>1</v>
      </c>
      <c r="C179">
        <v>1</v>
      </c>
      <c r="D179">
        <v>90259</v>
      </c>
    </row>
    <row r="180" spans="1:4">
      <c r="A180" t="s">
        <v>254</v>
      </c>
      <c r="B180">
        <v>1</v>
      </c>
      <c r="C180">
        <v>1</v>
      </c>
      <c r="D180">
        <v>89503.679999999993</v>
      </c>
    </row>
    <row r="181" spans="1:4">
      <c r="A181" t="s">
        <v>255</v>
      </c>
      <c r="B181">
        <v>26</v>
      </c>
      <c r="C181">
        <v>26</v>
      </c>
      <c r="D181">
        <v>88653.62</v>
      </c>
    </row>
    <row r="182" spans="1:4">
      <c r="A182" t="s">
        <v>256</v>
      </c>
      <c r="B182">
        <v>23</v>
      </c>
      <c r="C182">
        <v>23</v>
      </c>
      <c r="D182">
        <v>87070.319999999992</v>
      </c>
    </row>
    <row r="183" spans="1:4">
      <c r="A183" t="s">
        <v>257</v>
      </c>
      <c r="B183">
        <v>16</v>
      </c>
      <c r="C183">
        <v>16</v>
      </c>
      <c r="D183">
        <v>85254.400000000009</v>
      </c>
    </row>
    <row r="184" spans="1:4">
      <c r="A184" t="s">
        <v>258</v>
      </c>
      <c r="B184">
        <v>18</v>
      </c>
      <c r="C184">
        <v>18</v>
      </c>
      <c r="D184">
        <v>85107.36</v>
      </c>
    </row>
    <row r="185" spans="1:4">
      <c r="A185" t="s">
        <v>259</v>
      </c>
      <c r="B185">
        <v>19</v>
      </c>
      <c r="C185">
        <v>19</v>
      </c>
      <c r="D185">
        <v>84472.569999999992</v>
      </c>
    </row>
    <row r="186" spans="1:4">
      <c r="A186" t="s">
        <v>260</v>
      </c>
      <c r="B186">
        <v>1</v>
      </c>
      <c r="C186">
        <v>1</v>
      </c>
      <c r="D186">
        <v>83354.210000000006</v>
      </c>
    </row>
    <row r="187" spans="1:4">
      <c r="A187" t="s">
        <v>261</v>
      </c>
      <c r="B187">
        <v>17</v>
      </c>
      <c r="C187">
        <v>17</v>
      </c>
      <c r="D187">
        <v>81578.070000000007</v>
      </c>
    </row>
    <row r="188" spans="1:4">
      <c r="A188" t="s">
        <v>262</v>
      </c>
      <c r="B188">
        <v>25</v>
      </c>
      <c r="C188">
        <v>25</v>
      </c>
      <c r="D188">
        <v>78419.740000000005</v>
      </c>
    </row>
    <row r="189" spans="1:4">
      <c r="A189" t="s">
        <v>263</v>
      </c>
      <c r="B189">
        <v>26</v>
      </c>
      <c r="C189">
        <v>26</v>
      </c>
      <c r="D189">
        <v>76201.8</v>
      </c>
    </row>
    <row r="190" spans="1:4">
      <c r="A190" t="s">
        <v>264</v>
      </c>
      <c r="B190">
        <v>1</v>
      </c>
      <c r="C190">
        <v>1</v>
      </c>
      <c r="D190">
        <v>75078</v>
      </c>
    </row>
    <row r="191" spans="1:4">
      <c r="A191" t="s">
        <v>265</v>
      </c>
      <c r="B191">
        <v>20</v>
      </c>
      <c r="C191">
        <v>20</v>
      </c>
      <c r="D191">
        <v>74675.33</v>
      </c>
    </row>
    <row r="192" spans="1:4">
      <c r="A192" t="s">
        <v>266</v>
      </c>
      <c r="B192">
        <v>2</v>
      </c>
      <c r="C192">
        <v>2</v>
      </c>
      <c r="D192">
        <v>74215.709999999992</v>
      </c>
    </row>
    <row r="193" spans="1:4">
      <c r="A193" t="s">
        <v>267</v>
      </c>
      <c r="B193">
        <v>20</v>
      </c>
      <c r="C193">
        <v>20</v>
      </c>
      <c r="D193">
        <v>73024</v>
      </c>
    </row>
    <row r="194" spans="1:4">
      <c r="A194" t="s">
        <v>268</v>
      </c>
      <c r="B194">
        <v>16</v>
      </c>
      <c r="C194">
        <v>16</v>
      </c>
      <c r="D194">
        <v>71012.479999999996</v>
      </c>
    </row>
    <row r="195" spans="1:4">
      <c r="A195" t="s">
        <v>269</v>
      </c>
      <c r="B195">
        <v>1</v>
      </c>
      <c r="C195">
        <v>1</v>
      </c>
      <c r="D195">
        <v>70605.599999999991</v>
      </c>
    </row>
    <row r="196" spans="1:4">
      <c r="A196" t="s">
        <v>270</v>
      </c>
      <c r="B196">
        <v>15</v>
      </c>
      <c r="C196">
        <v>15</v>
      </c>
      <c r="D196">
        <v>69937.350000000006</v>
      </c>
    </row>
    <row r="197" spans="1:4">
      <c r="A197" t="s">
        <v>271</v>
      </c>
      <c r="B197">
        <v>20</v>
      </c>
      <c r="C197">
        <v>20</v>
      </c>
      <c r="D197">
        <v>69722.640000000014</v>
      </c>
    </row>
    <row r="198" spans="1:4">
      <c r="A198" t="s">
        <v>272</v>
      </c>
      <c r="B198">
        <v>18</v>
      </c>
      <c r="C198">
        <v>18</v>
      </c>
      <c r="D198">
        <v>67683.14</v>
      </c>
    </row>
    <row r="199" spans="1:4">
      <c r="A199" t="s">
        <v>273</v>
      </c>
      <c r="B199">
        <v>22</v>
      </c>
      <c r="C199">
        <v>22</v>
      </c>
      <c r="D199">
        <v>66692.639999999999</v>
      </c>
    </row>
    <row r="200" spans="1:4">
      <c r="A200" t="s">
        <v>274</v>
      </c>
      <c r="B200">
        <v>19</v>
      </c>
      <c r="C200">
        <v>19</v>
      </c>
      <c r="D200">
        <v>66584.06</v>
      </c>
    </row>
    <row r="201" spans="1:4">
      <c r="A201" t="s">
        <v>275</v>
      </c>
      <c r="B201">
        <v>23</v>
      </c>
      <c r="C201">
        <v>23</v>
      </c>
      <c r="D201">
        <v>64523.12</v>
      </c>
    </row>
    <row r="202" spans="1:4">
      <c r="A202" t="s">
        <v>276</v>
      </c>
      <c r="B202">
        <v>1</v>
      </c>
      <c r="C202">
        <v>1</v>
      </c>
      <c r="D202">
        <v>63505.240000000013</v>
      </c>
    </row>
    <row r="203" spans="1:4">
      <c r="A203" t="s">
        <v>277</v>
      </c>
      <c r="B203">
        <v>17</v>
      </c>
      <c r="C203">
        <v>17</v>
      </c>
      <c r="D203">
        <v>61523.280000000013</v>
      </c>
    </row>
    <row r="204" spans="1:4">
      <c r="A204" t="s">
        <v>278</v>
      </c>
      <c r="B204">
        <v>17</v>
      </c>
      <c r="C204">
        <v>17</v>
      </c>
      <c r="D204">
        <v>60021</v>
      </c>
    </row>
    <row r="205" spans="1:4">
      <c r="A205" t="s">
        <v>279</v>
      </c>
      <c r="B205">
        <v>1</v>
      </c>
      <c r="C205">
        <v>1</v>
      </c>
      <c r="D205">
        <v>58934.16</v>
      </c>
    </row>
    <row r="206" spans="1:4">
      <c r="A206" t="s">
        <v>280</v>
      </c>
      <c r="B206">
        <v>22</v>
      </c>
      <c r="C206">
        <v>22</v>
      </c>
      <c r="D206">
        <v>58624.06</v>
      </c>
    </row>
    <row r="207" spans="1:4">
      <c r="A207" t="s">
        <v>281</v>
      </c>
      <c r="B207">
        <v>17</v>
      </c>
      <c r="C207">
        <v>17</v>
      </c>
      <c r="D207">
        <v>56419</v>
      </c>
    </row>
    <row r="208" spans="1:4">
      <c r="A208" t="s">
        <v>282</v>
      </c>
      <c r="B208">
        <v>20</v>
      </c>
      <c r="C208">
        <v>20</v>
      </c>
      <c r="D208">
        <v>46473.2</v>
      </c>
    </row>
    <row r="209" spans="1:4">
      <c r="A209" t="s">
        <v>283</v>
      </c>
      <c r="B209">
        <v>25</v>
      </c>
      <c r="C209">
        <v>25</v>
      </c>
      <c r="D209">
        <v>46097.37</v>
      </c>
    </row>
    <row r="210" spans="1:4">
      <c r="A210" t="s">
        <v>284</v>
      </c>
      <c r="B210">
        <v>1</v>
      </c>
      <c r="C210">
        <v>1</v>
      </c>
      <c r="D210">
        <v>42728.62</v>
      </c>
    </row>
    <row r="211" spans="1:4">
      <c r="A211" t="s">
        <v>285</v>
      </c>
      <c r="B211">
        <v>1</v>
      </c>
      <c r="C211">
        <v>1</v>
      </c>
      <c r="D211">
        <v>42607.96</v>
      </c>
    </row>
    <row r="212" spans="1:4">
      <c r="A212" t="s">
        <v>286</v>
      </c>
      <c r="B212">
        <v>22</v>
      </c>
      <c r="C212">
        <v>22</v>
      </c>
      <c r="D212">
        <v>42602.03</v>
      </c>
    </row>
    <row r="213" spans="1:4">
      <c r="A213" t="s">
        <v>287</v>
      </c>
      <c r="B213">
        <v>1</v>
      </c>
      <c r="C213">
        <v>1</v>
      </c>
      <c r="D213">
        <v>40901.31</v>
      </c>
    </row>
    <row r="214" spans="1:4">
      <c r="A214" t="s">
        <v>288</v>
      </c>
      <c r="B214">
        <v>16</v>
      </c>
      <c r="C214">
        <v>16</v>
      </c>
      <c r="D214">
        <v>36469.26</v>
      </c>
    </row>
    <row r="215" spans="1:4">
      <c r="A215" t="s">
        <v>289</v>
      </c>
      <c r="B215">
        <v>1</v>
      </c>
      <c r="C215">
        <v>1</v>
      </c>
      <c r="D215">
        <v>36289.230000000003</v>
      </c>
    </row>
    <row r="216" spans="1:4">
      <c r="A216" t="s">
        <v>290</v>
      </c>
      <c r="B216">
        <v>1</v>
      </c>
      <c r="C216">
        <v>1</v>
      </c>
      <c r="D216">
        <v>35789.65</v>
      </c>
    </row>
    <row r="217" spans="1:4">
      <c r="A217" t="s">
        <v>291</v>
      </c>
      <c r="B217">
        <v>1</v>
      </c>
      <c r="C217">
        <v>1</v>
      </c>
      <c r="D217">
        <v>33915.51</v>
      </c>
    </row>
    <row r="218" spans="1:4">
      <c r="A218" t="s">
        <v>292</v>
      </c>
      <c r="B218">
        <v>1</v>
      </c>
      <c r="C218">
        <v>1</v>
      </c>
      <c r="D218">
        <v>32338.799999999999</v>
      </c>
    </row>
    <row r="219" spans="1:4">
      <c r="A219" t="s">
        <v>293</v>
      </c>
      <c r="B219">
        <v>1</v>
      </c>
      <c r="C219">
        <v>1</v>
      </c>
      <c r="D219">
        <v>29859.57</v>
      </c>
    </row>
    <row r="220" spans="1:4">
      <c r="A220" t="s">
        <v>294</v>
      </c>
      <c r="B220">
        <v>1</v>
      </c>
      <c r="C220">
        <v>1</v>
      </c>
      <c r="D220">
        <v>28773.4</v>
      </c>
    </row>
    <row r="221" spans="1:4">
      <c r="A221" t="s">
        <v>295</v>
      </c>
      <c r="B221">
        <v>16</v>
      </c>
      <c r="C221">
        <v>16</v>
      </c>
      <c r="D221">
        <v>28623.94</v>
      </c>
    </row>
    <row r="222" spans="1:4">
      <c r="A222" t="s">
        <v>296</v>
      </c>
      <c r="B222">
        <v>1</v>
      </c>
      <c r="C222">
        <v>1</v>
      </c>
      <c r="D222">
        <v>27531.1</v>
      </c>
    </row>
    <row r="223" spans="1:4">
      <c r="A223" t="s">
        <v>297</v>
      </c>
      <c r="B223">
        <v>1</v>
      </c>
      <c r="C223">
        <v>1</v>
      </c>
      <c r="D223">
        <v>26262.11</v>
      </c>
    </row>
    <row r="224" spans="1:4">
      <c r="A224" t="s">
        <v>298</v>
      </c>
      <c r="B224">
        <v>1</v>
      </c>
      <c r="C224">
        <v>1</v>
      </c>
      <c r="D224">
        <v>22697.599999999999</v>
      </c>
    </row>
    <row r="225" spans="1:4">
      <c r="A225" t="s">
        <v>299</v>
      </c>
      <c r="B225">
        <v>1</v>
      </c>
      <c r="C225">
        <v>1</v>
      </c>
      <c r="D225">
        <v>21820.560000000001</v>
      </c>
    </row>
    <row r="226" spans="1:4">
      <c r="A226" t="s">
        <v>300</v>
      </c>
      <c r="B226">
        <v>1</v>
      </c>
      <c r="C226">
        <v>1</v>
      </c>
      <c r="D226">
        <v>21529.84</v>
      </c>
    </row>
    <row r="227" spans="1:4">
      <c r="A227" t="s">
        <v>301</v>
      </c>
      <c r="B227">
        <v>1</v>
      </c>
      <c r="C227">
        <v>1</v>
      </c>
      <c r="D227">
        <v>19801.5</v>
      </c>
    </row>
    <row r="228" spans="1:4">
      <c r="A228" t="s">
        <v>302</v>
      </c>
      <c r="B228">
        <v>1</v>
      </c>
      <c r="C228">
        <v>1</v>
      </c>
      <c r="D228">
        <v>19492.38</v>
      </c>
    </row>
    <row r="229" spans="1:4">
      <c r="A229" t="s">
        <v>303</v>
      </c>
      <c r="B229">
        <v>16</v>
      </c>
      <c r="C229">
        <v>16</v>
      </c>
      <c r="D229">
        <v>19440</v>
      </c>
    </row>
    <row r="230" spans="1:4">
      <c r="A230" t="s">
        <v>304</v>
      </c>
      <c r="B230">
        <v>1</v>
      </c>
      <c r="C230">
        <v>1</v>
      </c>
      <c r="D230">
        <v>18652.919999999998</v>
      </c>
    </row>
    <row r="231" spans="1:4">
      <c r="A231" t="s">
        <v>305</v>
      </c>
      <c r="B231">
        <v>1</v>
      </c>
      <c r="C231">
        <v>1</v>
      </c>
      <c r="D231">
        <v>16430.48</v>
      </c>
    </row>
    <row r="232" spans="1:4">
      <c r="A232" t="s">
        <v>306</v>
      </c>
      <c r="B232">
        <v>1</v>
      </c>
      <c r="C232">
        <v>1</v>
      </c>
      <c r="D232">
        <v>15652.48</v>
      </c>
    </row>
    <row r="233" spans="1:4">
      <c r="A233" t="s">
        <v>307</v>
      </c>
      <c r="B233">
        <v>1</v>
      </c>
      <c r="C233">
        <v>1</v>
      </c>
      <c r="D233">
        <v>15650.7</v>
      </c>
    </row>
    <row r="234" spans="1:4">
      <c r="A234" t="s">
        <v>308</v>
      </c>
      <c r="B234">
        <v>1</v>
      </c>
      <c r="C234">
        <v>1</v>
      </c>
      <c r="D234">
        <v>13978.58</v>
      </c>
    </row>
    <row r="235" spans="1:4">
      <c r="A235" t="s">
        <v>309</v>
      </c>
      <c r="B235">
        <v>1</v>
      </c>
      <c r="C235">
        <v>1</v>
      </c>
      <c r="D235">
        <v>12500.4</v>
      </c>
    </row>
    <row r="236" spans="1:4">
      <c r="A236" t="s">
        <v>310</v>
      </c>
      <c r="B236">
        <v>1</v>
      </c>
      <c r="C236">
        <v>1</v>
      </c>
      <c r="D236">
        <v>12077</v>
      </c>
    </row>
    <row r="237" spans="1:4">
      <c r="A237" t="s">
        <v>311</v>
      </c>
      <c r="B237">
        <v>1</v>
      </c>
      <c r="C237">
        <v>1</v>
      </c>
      <c r="D237">
        <v>11926.25</v>
      </c>
    </row>
    <row r="238" spans="1:4">
      <c r="A238" t="s">
        <v>312</v>
      </c>
      <c r="B238">
        <v>1</v>
      </c>
      <c r="C238">
        <v>1</v>
      </c>
      <c r="D238">
        <v>10710.44</v>
      </c>
    </row>
    <row r="239" spans="1:4">
      <c r="A239" t="s">
        <v>313</v>
      </c>
      <c r="B239">
        <v>1</v>
      </c>
      <c r="C239">
        <v>1</v>
      </c>
      <c r="D239">
        <v>10401.280000000001</v>
      </c>
    </row>
    <row r="240" spans="1:4">
      <c r="A240" t="s">
        <v>314</v>
      </c>
      <c r="B240">
        <v>1</v>
      </c>
      <c r="C240">
        <v>1</v>
      </c>
      <c r="D240">
        <v>10084.35</v>
      </c>
    </row>
    <row r="241" spans="1:4">
      <c r="A241" t="s">
        <v>315</v>
      </c>
      <c r="B241">
        <v>1</v>
      </c>
      <c r="C241">
        <v>1</v>
      </c>
      <c r="D241">
        <v>9648.7199999999993</v>
      </c>
    </row>
    <row r="242" spans="1:4">
      <c r="A242" t="s">
        <v>316</v>
      </c>
      <c r="B242">
        <v>1</v>
      </c>
      <c r="C242">
        <v>1</v>
      </c>
      <c r="D242">
        <v>9340.0300000000007</v>
      </c>
    </row>
    <row r="243" spans="1:4">
      <c r="A243" t="s">
        <v>317</v>
      </c>
      <c r="B243">
        <v>1</v>
      </c>
      <c r="C243">
        <v>1</v>
      </c>
      <c r="D243">
        <v>9118.18</v>
      </c>
    </row>
    <row r="244" spans="1:4">
      <c r="A244" t="s">
        <v>318</v>
      </c>
      <c r="B244">
        <v>1</v>
      </c>
      <c r="C244">
        <v>1</v>
      </c>
      <c r="D244">
        <v>9064.75</v>
      </c>
    </row>
    <row r="245" spans="1:4">
      <c r="A245" t="s">
        <v>319</v>
      </c>
      <c r="B245">
        <v>1</v>
      </c>
      <c r="C245">
        <v>1</v>
      </c>
      <c r="D245">
        <v>7294.0999999999995</v>
      </c>
    </row>
    <row r="246" spans="1:4">
      <c r="A246" t="s">
        <v>320</v>
      </c>
      <c r="B246">
        <v>1</v>
      </c>
      <c r="C246">
        <v>1</v>
      </c>
      <c r="D246">
        <v>6932.31</v>
      </c>
    </row>
    <row r="247" spans="1:4">
      <c r="A247" t="s">
        <v>321</v>
      </c>
      <c r="B247">
        <v>1</v>
      </c>
      <c r="C247">
        <v>1</v>
      </c>
      <c r="D247">
        <v>6778.56</v>
      </c>
    </row>
    <row r="248" spans="1:4">
      <c r="A248" t="s">
        <v>322</v>
      </c>
      <c r="B248">
        <v>1</v>
      </c>
      <c r="C248">
        <v>1</v>
      </c>
      <c r="D248">
        <v>6597.76</v>
      </c>
    </row>
    <row r="249" spans="1:4">
      <c r="A249" t="s">
        <v>323</v>
      </c>
      <c r="B249">
        <v>1</v>
      </c>
      <c r="C249">
        <v>1</v>
      </c>
      <c r="D249">
        <v>6266.48</v>
      </c>
    </row>
    <row r="250" spans="1:4">
      <c r="A250" t="s">
        <v>324</v>
      </c>
      <c r="B250">
        <v>1</v>
      </c>
      <c r="C250">
        <v>1</v>
      </c>
      <c r="D250">
        <v>5951.3399999999992</v>
      </c>
    </row>
    <row r="251" spans="1:4">
      <c r="A251" t="s">
        <v>325</v>
      </c>
      <c r="B251">
        <v>1</v>
      </c>
      <c r="C251">
        <v>1</v>
      </c>
      <c r="D251">
        <v>5559.63</v>
      </c>
    </row>
    <row r="252" spans="1:4">
      <c r="A252" t="s">
        <v>326</v>
      </c>
      <c r="B252">
        <v>1</v>
      </c>
      <c r="C252">
        <v>1</v>
      </c>
      <c r="D252">
        <v>4247.88</v>
      </c>
    </row>
    <row r="253" spans="1:4">
      <c r="A253" t="s">
        <v>327</v>
      </c>
      <c r="B253">
        <v>1</v>
      </c>
      <c r="C253">
        <v>1</v>
      </c>
      <c r="D253">
        <v>4167.66</v>
      </c>
    </row>
    <row r="254" spans="1:4">
      <c r="A254" t="s">
        <v>328</v>
      </c>
      <c r="B254">
        <v>1</v>
      </c>
      <c r="C254">
        <v>1</v>
      </c>
      <c r="D254">
        <v>4162.24</v>
      </c>
    </row>
    <row r="255" spans="1:4">
      <c r="A255" t="s">
        <v>329</v>
      </c>
      <c r="B255">
        <v>1</v>
      </c>
      <c r="C255">
        <v>1</v>
      </c>
      <c r="D255">
        <v>4007.1</v>
      </c>
    </row>
    <row r="256" spans="1:4">
      <c r="A256" t="s">
        <v>330</v>
      </c>
      <c r="B256">
        <v>1</v>
      </c>
      <c r="C256">
        <v>1</v>
      </c>
      <c r="D256">
        <v>3857.1</v>
      </c>
    </row>
    <row r="257" spans="1:4">
      <c r="A257" t="s">
        <v>331</v>
      </c>
      <c r="B257">
        <v>1</v>
      </c>
      <c r="C257">
        <v>1</v>
      </c>
      <c r="D257">
        <v>3679.4</v>
      </c>
    </row>
    <row r="258" spans="1:4">
      <c r="A258" t="s">
        <v>332</v>
      </c>
      <c r="B258">
        <v>1</v>
      </c>
      <c r="C258">
        <v>1</v>
      </c>
      <c r="D258">
        <v>3498.39</v>
      </c>
    </row>
    <row r="259" spans="1:4">
      <c r="A259" t="s">
        <v>333</v>
      </c>
      <c r="B259">
        <v>1</v>
      </c>
      <c r="C259">
        <v>1</v>
      </c>
      <c r="D259">
        <v>3346.7</v>
      </c>
    </row>
    <row r="260" spans="1:4">
      <c r="A260" t="s">
        <v>334</v>
      </c>
      <c r="B260">
        <v>1</v>
      </c>
      <c r="C260">
        <v>1</v>
      </c>
      <c r="D260">
        <v>3220</v>
      </c>
    </row>
    <row r="261" spans="1:4">
      <c r="A261" t="s">
        <v>335</v>
      </c>
      <c r="B261">
        <v>1</v>
      </c>
      <c r="C261">
        <v>1</v>
      </c>
      <c r="D261">
        <v>3121.58</v>
      </c>
    </row>
    <row r="262" spans="1:4">
      <c r="A262" t="s">
        <v>336</v>
      </c>
      <c r="B262">
        <v>1</v>
      </c>
      <c r="C262">
        <v>1</v>
      </c>
      <c r="D262">
        <v>3001.6</v>
      </c>
    </row>
    <row r="263" spans="1:4">
      <c r="A263" t="s">
        <v>337</v>
      </c>
      <c r="B263">
        <v>1</v>
      </c>
      <c r="C263">
        <v>1</v>
      </c>
      <c r="D263">
        <v>2959.2</v>
      </c>
    </row>
    <row r="264" spans="1:4">
      <c r="A264" t="s">
        <v>338</v>
      </c>
      <c r="B264">
        <v>1</v>
      </c>
      <c r="C264">
        <v>1</v>
      </c>
      <c r="D264">
        <v>2610.96</v>
      </c>
    </row>
    <row r="265" spans="1:4">
      <c r="A265" t="s">
        <v>339</v>
      </c>
      <c r="B265">
        <v>1</v>
      </c>
      <c r="C265">
        <v>1</v>
      </c>
      <c r="D265">
        <v>2583.8200000000002</v>
      </c>
    </row>
    <row r="266" spans="1:4">
      <c r="A266" t="s">
        <v>340</v>
      </c>
      <c r="B266">
        <v>1</v>
      </c>
      <c r="C266">
        <v>1</v>
      </c>
      <c r="D266">
        <v>2343.38</v>
      </c>
    </row>
    <row r="267" spans="1:4">
      <c r="A267" t="s">
        <v>341</v>
      </c>
      <c r="B267">
        <v>1</v>
      </c>
      <c r="C267">
        <v>1</v>
      </c>
      <c r="D267">
        <v>1493.39</v>
      </c>
    </row>
    <row r="268" spans="1:4">
      <c r="A268" t="s">
        <v>342</v>
      </c>
      <c r="B268">
        <v>1</v>
      </c>
      <c r="C268">
        <v>1</v>
      </c>
      <c r="D268">
        <v>1425.2</v>
      </c>
    </row>
    <row r="269" spans="1:4">
      <c r="A269" t="s">
        <v>343</v>
      </c>
      <c r="B269">
        <v>1</v>
      </c>
      <c r="C269">
        <v>1</v>
      </c>
      <c r="D269">
        <v>1223.51</v>
      </c>
    </row>
    <row r="270" spans="1:4">
      <c r="A270" t="s">
        <v>344</v>
      </c>
      <c r="B270">
        <v>1</v>
      </c>
      <c r="C270">
        <v>1</v>
      </c>
      <c r="D270">
        <v>814.19999999999993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Y43"/>
  <sheetViews>
    <sheetView zoomScale="55" zoomScaleNormal="55" workbookViewId="0">
      <selection activeCell="E42" sqref="E42"/>
    </sheetView>
  </sheetViews>
  <sheetFormatPr defaultRowHeight="15"/>
  <cols>
    <col min="1" max="1" width="31.5703125" customWidth="1"/>
    <col min="3" max="3" width="25" customWidth="1"/>
    <col min="5" max="5" width="28.28515625" customWidth="1"/>
    <col min="7" max="7" width="19.42578125" customWidth="1"/>
    <col min="9" max="9" width="17.28515625" customWidth="1"/>
  </cols>
  <sheetData>
    <row r="1" spans="1:9" ht="23.25">
      <c r="A1" s="6" t="s">
        <v>351</v>
      </c>
      <c r="B1" s="6"/>
      <c r="C1" s="6"/>
      <c r="D1" s="6"/>
    </row>
    <row r="3" spans="1:9">
      <c r="A3" s="7" t="s">
        <v>352</v>
      </c>
      <c r="B3" s="7"/>
      <c r="C3" s="7" t="s">
        <v>347</v>
      </c>
      <c r="D3" s="7"/>
      <c r="E3" s="7" t="s">
        <v>354</v>
      </c>
      <c r="F3" s="7"/>
      <c r="G3" s="7" t="s">
        <v>349</v>
      </c>
      <c r="H3" s="7"/>
      <c r="I3" s="7" t="s">
        <v>350</v>
      </c>
    </row>
    <row r="4" spans="1:9" ht="18.75">
      <c r="A4" s="8">
        <f>'Yearly KPIs'!H3</f>
        <v>10870807347.700001</v>
      </c>
      <c r="B4" s="9"/>
      <c r="C4" s="8">
        <f>'Yearly KPIs'!H6</f>
        <v>5167864</v>
      </c>
      <c r="D4" s="9"/>
      <c r="E4" s="8">
        <f>'Yearly KPIs'!H9</f>
        <v>18683250</v>
      </c>
      <c r="F4" s="9"/>
      <c r="G4" s="8">
        <f>'Yearly KPIs'!H12</f>
        <v>2103.5397502140149</v>
      </c>
      <c r="H4" s="9"/>
      <c r="I4" s="10">
        <f>'Yearly KPIs'!H15</f>
        <v>0</v>
      </c>
    </row>
    <row r="5" spans="1:9">
      <c r="A5" t="s">
        <v>353</v>
      </c>
    </row>
    <row r="43" spans="25:25">
      <c r="Y43" t="s">
        <v>355</v>
      </c>
    </row>
  </sheetData>
  <pageMargins left="0.7" right="0.7" top="0.75" bottom="0.75" header="0.3" footer="0.3"/>
  <pageSetup orientation="portrait" horizontalDpi="200" verticalDpi="20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Sales</vt:lpstr>
      <vt:lpstr>Yearly KPIs</vt:lpstr>
      <vt:lpstr>Store Performance</vt:lpstr>
      <vt:lpstr>Store Type</vt:lpstr>
      <vt:lpstr>Category Risk</vt:lpstr>
      <vt:lpstr>Priority SKUs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 SAI</cp:lastModifiedBy>
  <dcterms:created xsi:type="dcterms:W3CDTF">2026-08-26T07:42:47Z</dcterms:created>
  <dcterms:modified xsi:type="dcterms:W3CDTF">2026-08-28T03:44:00Z</dcterms:modified>
</cp:coreProperties>
</file>